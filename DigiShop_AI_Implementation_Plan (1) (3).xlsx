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 state="visible" name="Team Roster" sheetId="2" r:id="rId5"/>
    <sheet state="visible" name="Task Tracker" sheetId="3" r:id="rId6"/>
    <sheet state="visible" name="Daily Standup Log" sheetId="4" r:id="rId7"/>
    <sheet state="visible" name="Definition of Done" sheetId="5" r:id="rId8"/>
  </sheets>
  <definedNames>
    <definedName hidden="1" localSheetId="2" name="_xlnm._FilterDatabase">'Task Tracker'!$A$2:$L$137</definedName>
  </definedNames>
  <calcPr/>
  <extLst>
    <ext uri="GoogleSheetsCustomDataVersion2">
      <go:sheetsCustomData xmlns:go="http://customooxmlschemas.google.com/" r:id="rId9" roundtripDataChecksum="zfUANjAM/cE1YXyTSWHhOMYlRA0i8ZP+X095eKSYmWo="/>
    </ext>
  </extLst>
</workbook>
</file>

<file path=xl/sharedStrings.xml><?xml version="1.0" encoding="utf-8"?>
<sst xmlns="http://schemas.openxmlformats.org/spreadsheetml/2006/main" count="1722" uniqueCount="869">
  <si>
    <t xml:space="preserve"> </t>
  </si>
  <si>
    <t>DigiShop AI — Team Roster (8 Members, 2 Sides)</t>
  </si>
  <si>
    <t>Daily Standup Log — Fill in every working day</t>
  </si>
  <si>
    <t>DigiShop AI — Project Dashboard</t>
  </si>
  <si>
    <t>DigiShop AI — Task Tracker (Phase 1: Web App Launch, 0 → 1,000 Vendors)</t>
  </si>
  <si>
    <t>Member</t>
  </si>
  <si>
    <t>Name (fill in)</t>
  </si>
  <si>
    <t>Role — Vertical Slice (Full-Stack, UI + Backend)</t>
  </si>
  <si>
    <t>Task ID</t>
  </si>
  <si>
    <t>Repository</t>
  </si>
  <si>
    <t>Git Branch</t>
  </si>
  <si>
    <t>Side</t>
  </si>
  <si>
    <t>Feature Area</t>
  </si>
  <si>
    <t>Task Title</t>
  </si>
  <si>
    <t>V1</t>
  </si>
  <si>
    <t>Type</t>
  </si>
  <si>
    <t>Detailed Description (What to build &amp; how)</t>
  </si>
  <si>
    <t>Acceptance Criteria</t>
  </si>
  <si>
    <t xml:space="preserve">Hafsa Shaban </t>
  </si>
  <si>
    <t>Vendor Auth, Onboarding, Profile &amp; Subscription (UI + Backend)</t>
  </si>
  <si>
    <t>Phase 1: Web App Launch · 0 → 1,000 Vendors · Live status from Task Tracker</t>
  </si>
  <si>
    <t>Priority</t>
  </si>
  <si>
    <t>Est. Days</t>
  </si>
  <si>
    <t>Dependencies</t>
  </si>
  <si>
    <t>digishop-vendor</t>
  </si>
  <si>
    <t>Status</t>
  </si>
  <si>
    <t>Date</t>
  </si>
  <si>
    <t>feature/v1-auth-onboarding</t>
  </si>
  <si>
    <t>T-V1-001</t>
  </si>
  <si>
    <t>Vendor</t>
  </si>
  <si>
    <t>Auth UI</t>
  </si>
  <si>
    <t>V2</t>
  </si>
  <si>
    <t xml:space="preserve">Amna Shaban </t>
  </si>
  <si>
    <t>Vendor Signup Page — Full UI</t>
  </si>
  <si>
    <t>Yesterday (Completed)</t>
  </si>
  <si>
    <t>Vendor Dashboard, Live Analytics &amp; Storefront Theme Engine (UI + Backend)</t>
  </si>
  <si>
    <t>UI</t>
  </si>
  <si>
    <t>Today (Working on)</t>
  </si>
  <si>
    <t>Build the vendor signup page in Next.js. Form fields: full name, business name, phone (with +92 prefix and validation), email, password with strength meter, category dropdown, terms &amp; privacy checkbox. Include social signup buttons (Google, Facebook). Design must follow the 3D premium tokens from A1's design system. Loading, error, and success states all designed. Show OTP verification step immediately after phone submission.</t>
  </si>
  <si>
    <t>digishop-vendor / digishop-storefront</t>
  </si>
  <si>
    <t>All form validations trigger inline errors; password meter shows weak/medium/strong; social buttons render; terms link opens modal; page is fully responsive on 1280px+ and mobile; matches design tokens.</t>
  </si>
  <si>
    <t>feature/v2-dashboard-analytics-theme</t>
  </si>
  <si>
    <t>P0</t>
  </si>
  <si>
    <t>V3</t>
  </si>
  <si>
    <t>Blockers / Help needed</t>
  </si>
  <si>
    <t xml:space="preserve">Iqra Ashraf </t>
  </si>
  <si>
    <t>Vendor Products, Inventory, AI Image &amp; Copy Tools (UI + Backend)</t>
  </si>
  <si>
    <t>Squad Lead comments</t>
  </si>
  <si>
    <t>feature/v3-catalog-inventory-ai</t>
  </si>
  <si>
    <t>A1 design system (V1-DEPS-1)</t>
  </si>
  <si>
    <t>V4</t>
  </si>
  <si>
    <t xml:space="preserve">Tahleel Fatima/ Kiran Mukhtar </t>
  </si>
  <si>
    <t>Vendor Orders, Storefront Checkout, Marketing &amp; Wallet/VCC (UI + Backend)</t>
  </si>
  <si>
    <t>In Progress</t>
  </si>
  <si>
    <t>feature/v4-orders-checkout-marketing-wallet</t>
  </si>
  <si>
    <t>T-V1-002</t>
  </si>
  <si>
    <t>A1</t>
  </si>
  <si>
    <t>Malaika Majeed</t>
  </si>
  <si>
    <t>Admin Shell, Vendor Management, Design System &amp; Platform Analytics (UI + Backend)</t>
  </si>
  <si>
    <t>Vendor Login Page + Forgot Password Flow — UI</t>
  </si>
  <si>
    <t>digishop-admin / digishop-shared</t>
  </si>
  <si>
    <t>feature/a1-admin-shell-design-vendor-mgmt</t>
  </si>
  <si>
    <t>Build vendor login page with email-or-phone + password fields. Add 'Remember me' checkbox. 'Forgot password' link opens a modal where vendor enters email → receives reset link → clicks link → new password page. Design the three screens (login, forgot-modal, reset) with consistent styling. Support Google/Facebook social login buttons here too.</t>
  </si>
  <si>
    <t>Admin</t>
  </si>
  <si>
    <t>Wrong credentials show inline error; social login redirects correctly; forgot-password flow works end-to-end; reset link expires visually after 1 hour.</t>
  </si>
  <si>
    <t>A2</t>
  </si>
  <si>
    <t>Auth backend (V1)</t>
  </si>
  <si>
    <t>Hiba Maroof</t>
  </si>
  <si>
    <t>2026-08-11 (example)</t>
  </si>
  <si>
    <t>Admin Escrow Ops, Finance, Refunds &amp; Subscription Management (UI + Backend)</t>
  </si>
  <si>
    <t>digishop-admin</t>
  </si>
  <si>
    <t>feature/a2-escrow-finance-refunds</t>
  </si>
  <si>
    <t>A3</t>
  </si>
  <si>
    <t>STATUS SUMMARY</t>
  </si>
  <si>
    <t>Areeba Shakeel</t>
  </si>
  <si>
    <t>Admin Logistics, Courier Partners &amp; Domain Reseller Operations (UI + Backend)</t>
  </si>
  <si>
    <t>Completed vendor signup form UI + validations (PR #12).</t>
  </si>
  <si>
    <t>feature/a3-logistics-couriers-domains</t>
  </si>
  <si>
    <t>T-V1-003</t>
  </si>
  <si>
    <t>Wiring up Supabase Auth backend + JWT config.</t>
  </si>
  <si>
    <t>A4</t>
  </si>
  <si>
    <t xml:space="preserve">Manahil Asif </t>
  </si>
  <si>
    <t>Admin Email Infra, Security, DevOps &amp; Shared AI Core Services (UI + Backend)</t>
  </si>
  <si>
    <t>Onboarding UI</t>
  </si>
  <si>
    <t>Waiting on A4 for master env vars for OAuth secrets.</t>
  </si>
  <si>
    <t>4-Step Onboarding Wizard — Full UI Layer</t>
  </si>
  <si>
    <t>feature/a4-email-security-ai-core</t>
  </si>
  <si>
    <t>Build a full-screen 4-step wizard shown after signup: (1) Welcome + business info form (name, category, target region, expected products); (2) Product prompt input ('What do you sell?' with example prompts below); (3) Theme selection — display 4-6 AI-generated theme previews in a grid, vendor picks one; (4) Add first product + celebration. Include a progress bar (25/50/75/100%) at the top, back/next buttons with proper state preservation, and skip options where allowed.</t>
  </si>
  <si>
    <t>Approved. A4 will DM env vars today.</t>
  </si>
  <si>
    <t>All 4 steps navigate correctly; progress bar updates; back preserves state; wizard remembers where user left off if they close/reopen.</t>
  </si>
  <si>
    <t>How the split works:</t>
  </si>
  <si>
    <t>V2 theme engine backend, V3 add-product form</t>
  </si>
  <si>
    <t>• VENDOR SIDE (V1-V4) = the vendor panel + the auto-generated public storefront their customers browse and buy from.</t>
  </si>
  <si>
    <t>T-V1-004</t>
  </si>
  <si>
    <t>• ADMIN SIDE  (A1-A4) = the internal panel used by the DigiShop AI team to manage all vendors, escrow, domains, couriers, email, security.</t>
  </si>
  <si>
    <t>• Every member owns a full vertical slice: they build the UI screens AND the backend/APIs/integrations for their slice. No pure-UI or pure-backend roles.</t>
  </si>
  <si>
    <t>To Do</t>
  </si>
  <si>
    <t>• Cross-slice dependencies are called out in the Dependencies column of the Task Tracker.</t>
  </si>
  <si>
    <t>Onboarding Progress Persistence UI</t>
  </si>
  <si>
    <t>• A4 (Admin) also owns shared services (WhatsApp AI core, Meta Ads shared service, design system tokens) that V-side members consume.</t>
  </si>
  <si>
    <t>If a vendor abandons the wizard midway, when they log back in, show a 'Continue onboarding' banner on the dashboard that resumes them at the exact step they left. Also build a 'Complete your setup' checklist widget on the dashboard for post-onboarding items (add 3 more products, connect domain, add courier).</t>
  </si>
  <si>
    <t>Resume flow works from any step; checklist accurately reflects vendor progress; ticking off items updates instantly.</t>
  </si>
  <si>
    <t>P1</t>
  </si>
  <si>
    <t>In Review</t>
  </si>
  <si>
    <t>Onboarding wizard, dashboard shell from V2</t>
  </si>
  <si>
    <t>Done</t>
  </si>
  <si>
    <t>T-V1-005</t>
  </si>
  <si>
    <t>Blocked</t>
  </si>
  <si>
    <t>Profile UI</t>
  </si>
  <si>
    <t>Business Profile Settings Page — UI</t>
  </si>
  <si>
    <t>Full profile settings page split into tabs: Business Info (name, category, description, address, phone, business email, logo upload to Cloudinary), Notification Preferences (toggles for order alerts, low stock, new campaign, WhatsApp forwards, marketing tips), Team Members (list + invite by email with Admin/Editor/Viewer role), Security (change password, active sessions, logout everywhere).</t>
  </si>
  <si>
    <t>All 4 tabs functional; logo upload works and appears in storefront header; team invites send email; changing password logs out other sessions.</t>
  </si>
  <si>
    <t>Cloudinary integration (V3), Resend (A4)</t>
  </si>
  <si>
    <t>T-V1-006</t>
  </si>
  <si>
    <t>Subscription UI</t>
  </si>
  <si>
    <t>Subscription Plans Page — UI</t>
  </si>
  <si>
    <t>Show 3 plan cards side-by-side (Starter / Growth / Scale) with feature comparison, current plan highlighted with a badge, upgrade/downgrade CTAs. Include a FAQ accordion below and a 'contact sales' link for custom enterprise plans. Also show a billing history table below plans.</t>
  </si>
  <si>
    <t>Cards render correctly; features accurate; current plan clearly marked; CTA opens the payment/top-up flow; billing history loads.</t>
  </si>
  <si>
    <t>Subscription backend, A2 subscription mgmt</t>
  </si>
  <si>
    <t>T-V1-007</t>
  </si>
  <si>
    <t>PKR Wallet Top-Up Flow — UI</t>
  </si>
  <si>
    <t>Wallet top-up modal: vendor enters amount, selects gateway (JazzCash / EasyPaisa / Bank Transfer), clicks 'Top Up' → redirected to gateway → returns to success or failure page. Show a 'digital invoice' option too where they get a payment link.</t>
  </si>
  <si>
    <t>Redirect works; success updates wallet balance instantly; failure gives clear retry option; digital invoice link shareable.</t>
  </si>
  <si>
    <t>V4 payment gateway integration (shared)</t>
  </si>
  <si>
    <t>T-V1-008</t>
  </si>
  <si>
    <t>Auth Backend</t>
  </si>
  <si>
    <t>Supabase Auth Setup — Vendors Table + JWT Config</t>
  </si>
  <si>
    <t>Backend</t>
  </si>
  <si>
    <t>Configure Supabase Auth for email/password + phone OTP. Create the `vendors` table (id, name, business_name, phone, email, category, region, status, created_at, updated_at) with proper indexes. Set JWT expiry to 1 hour with refresh token rotation. Create Row Level Security (RLS) policies so a vendor can only read/update their own row.</t>
  </si>
  <si>
    <t>JWT issued on login; refresh works silently; RLS policies pass unit tests; vendor cannot query another vendor's row.</t>
  </si>
  <si>
    <t>Supabase project (A4)</t>
  </si>
  <si>
    <t>T-V1-009</t>
  </si>
  <si>
    <t>OAuth Integration (Google + Facebook)</t>
  </si>
  <si>
    <t>Wire Google and Facebook OAuth via Supabase Auth. Handle callback URL, extract profile (email, name, avatar), auto-create vendor row on first login, link existing vendor if email matches. Handle edge cases: email already registered with password auth (offer to link), Facebook email missing (fallback to prompt).</t>
  </si>
  <si>
    <t>OAuth login end-to-end works; existing users not duplicated; missing-email fallback works; audit log entry created for every OAuth login.</t>
  </si>
  <si>
    <t>Supabase Auth base, Meta developer account</t>
  </si>
  <si>
    <t>T-V1-010</t>
  </si>
  <si>
    <t>Phone OTP Verification via WhatsApp Business API</t>
  </si>
  <si>
    <t>Send a 6-digit OTP to vendor's phone via WhatsApp Business API (cheaper than SMS). Store OTP hashed in DB with 5-minute expiry. Verify endpoint compares hash. Block phone after 3 failed attempts for 15 minutes.</t>
  </si>
  <si>
    <t>OTP delivers within 10 seconds; wrong code blocks after 3 tries; expiry works; audit log for every attempt.</t>
  </si>
  <si>
    <t>WhatsApp Business API (A4 shared service)</t>
  </si>
  <si>
    <t>T-V1-011</t>
  </si>
  <si>
    <t>Password Reset Flow — Token &amp; Email Trigger</t>
  </si>
  <si>
    <t>Backend endpoint for password reset: /api/auth/reset-request generates a secure random token, stores it hashed with 1-hour expiry, fires an email via Resend to the vendor. /api/auth/reset-confirm verifies the token and updates the password hash. Old password immediately invalidated after reset.</t>
  </si>
  <si>
    <t>Full flow works; token single-use; expired tokens rejected with clear error; old sessions invalidated after reset.</t>
  </si>
  <si>
    <t>Resend email (A4)</t>
  </si>
  <si>
    <t>T-V1-012</t>
  </si>
  <si>
    <t>Onboarding Backend</t>
  </si>
  <si>
    <t>Onboarding State Machine + APIs</t>
  </si>
  <si>
    <t>Backend to manage onboarding progress: /api/onboarding/step endpoint accepts step data and persists to the `vendor_onboarding` table. Fields: current_step, business_info_data, product_prompt, chosen_theme_id, first_product_id, completed_at. Emits event `onboarding_completed` when step 4 done, which triggers welcome email and Meta pixel install prompt.</t>
  </si>
  <si>
    <t>State survives crash/refresh; event fires exactly once; API idempotent per step.</t>
  </si>
  <si>
    <t>Vendors table, event bus</t>
  </si>
  <si>
    <t>T-V1-013</t>
  </si>
  <si>
    <t>Profile Backend</t>
  </si>
  <si>
    <t>Team Members &amp; Role-Based Access — Backend</t>
  </si>
  <si>
    <t>Build `team_members` table (id, vendor_id, invited_email, role, status, invited_at, joined_at). API endpoints for invite/accept/revoke. Enforce role-based access in RLS: Admin (full), Editor (products + orders), Viewer (read-only). Invite email sent via Resend.</t>
  </si>
  <si>
    <t>Invite email delivers; roles enforced by RLS on every table; revoke immediately blocks access.</t>
  </si>
  <si>
    <t>Auth, Resend</t>
  </si>
  <si>
    <t>T-V1-014</t>
  </si>
  <si>
    <t>Subscription Backend</t>
  </si>
  <si>
    <t>Subscription Plans + Recurring Deduction Logic</t>
  </si>
  <si>
    <t>Backend to manage vendor subscriptions: `subscriptions` table (vendor_id, plan_id, status, current_period_start, current_period_end, next_charge_at, cancel_at_period_end). Scheduled cron (daily) that deducts monthly fee from wallet. On failure: 3-day grace period + email reminders; then suspend features until paid.</t>
  </si>
  <si>
    <t>Recurring deduction runs on schedule; failed renewals get grace period; feature-flag system correctly gates features when suspended.</t>
  </si>
  <si>
    <t>V1 Wallet Top-Up, Resend</t>
  </si>
  <si>
    <t>T-V1-015</t>
  </si>
  <si>
    <t>Invoice PDF Generation</t>
  </si>
  <si>
    <t>For every successful subscription payment, generate a PDF invoice (using React-PDF or Puppeteer) with vendor's business info, plan details, tax breakdown (Pakistan sales tax if applicable), and DigiShop AI header. Store in Supabase Storage; expose via signed URL. Email attached copy to vendor.</t>
  </si>
  <si>
    <t>PDF renders correctly with vendor branding; download works; signed URL expires after 24 hours.</t>
  </si>
  <si>
    <t>Payment success events</t>
  </si>
  <si>
    <t>T-V1-016</t>
  </si>
  <si>
    <t>Testing</t>
  </si>
  <si>
    <t>TOTALS</t>
  </si>
  <si>
    <t>V1 E2E Test Suite — Auth + Onboarding + Profile</t>
  </si>
  <si>
    <t>DISTRIBUTION (Per Member)</t>
  </si>
  <si>
    <t>Write Playwright end-to-end tests covering: (1) full signup → OTP → onboarding → dashboard; (2) OAuth signup + link to existing account; (3) forgot password flow with email verification; (4) team member invite + accept; (5) subscription upgrade + downgrade; (6) wallet top-up success and failure.</t>
  </si>
  <si>
    <t>All 6 flows pass on CI in &lt;5 minutes; screenshots captured for review; 80%+ code coverage on V1 files.</t>
  </si>
  <si>
    <t>All V1 tasks above</t>
  </si>
  <si>
    <t>T-V2-001</t>
  </si>
  <si>
    <t>Dashboard Shell</t>
  </si>
  <si>
    <t>Vendor Dashboard Layout — Sidebar + Navbar + Content</t>
  </si>
  <si>
    <t>Build the vendor dashboard shell: collapsible left sidebar with icons + labels (Dashboard, Products, Orders, Analytics, Campaigns, Wallet, Domain, Storefront, Settings), top navbar with global search + notification bell (unread badge) + profile avatar dropdown (Profile, Settings, Logout), and a main content area with breadcrumbs. All using 3D premium design tokens. Responsive down to 1280px minimum; mobile menu hamburger below that.</t>
  </si>
  <si>
    <t>All 9 sidebar links route correctly; active state visible; navbar dropdown works; notification bell shows unread count from API; mobile hamburger works.</t>
  </si>
  <si>
    <t>Vendor tasks (V1–V4)</t>
  </si>
  <si>
    <t>A1 design system, V1 auth</t>
  </si>
  <si>
    <t>T-V2-002</t>
  </si>
  <si>
    <t>Dashboard Home</t>
  </si>
  <si>
    <t>Dashboard Home — KPI Cards Row</t>
  </si>
  <si>
    <t>Top row of 4 KPI cards on dashboard home: Total Sales Today (₨), Orders Today (count), Site Views (count), Conversion Rate (%). Each card includes a 7-day sparkline showing trend, plus % change vs previous 7 days (green up, red down). Skeleton loaders while fetching.</t>
  </si>
  <si>
    <t>Cards render with real data; sparklines correct; % change accurate; skeletons show while loading; cards animate on data change.</t>
  </si>
  <si>
    <t>V2 Analytics API</t>
  </si>
  <si>
    <t>T-V2-003</t>
  </si>
  <si>
    <t>Definition of Done — Every task ships only when all items ✓</t>
  </si>
  <si>
    <t>Recent Orders + Quick Actions Widgets</t>
  </si>
  <si>
    <t>Category</t>
  </si>
  <si>
    <t>Checklist Item</t>
  </si>
  <si>
    <t>Below KPIs: (a) 'Recent Orders' table showing last 10 with customer, amount, status pill, click → order details; (b) 'Quick Actions' card with buttons for common tasks (Add Product, Launch Ad, Top-Up Wallet, Reply to WhatsApp queries — with badge count).</t>
  </si>
  <si>
    <t>Applies to</t>
  </si>
  <si>
    <t>Code Quality</t>
  </si>
  <si>
    <t>Table paginates; row click navigates correctly; quick action buttons deep-link to correct pages.</t>
  </si>
  <si>
    <t>Code follows ESLint + Prettier; zero warnings on push</t>
  </si>
  <si>
    <t>All</t>
  </si>
  <si>
    <t>V4 orders API, V4 WhatsApp AI</t>
  </si>
  <si>
    <t>UI uses ONLY design tokens from A1's globals.css — no hardcoded colors, fonts, or spacing</t>
  </si>
  <si>
    <t>UI tasks</t>
  </si>
  <si>
    <t>T-V2-004</t>
  </si>
  <si>
    <t>Analytics UI</t>
  </si>
  <si>
    <t>TypeScript strict mode passes; no `any` without justification comment</t>
  </si>
  <si>
    <t>Full Analytics Page — Filters, Charts &amp; Insights</t>
  </si>
  <si>
    <t>Dedicated /analytics page with date range picker (Today, 7d, 30d, 90d, custom) at the top. Sections: (1) Traffic overview — total visits, unique visitors, session duration; (2) Geographical heatmap of Pakistan with city-level visitor concentration; (3) Traffic source donut chart (Meta Ads, WhatsApp, Organic, Direct); (4) New vs Returning customer bar chart; (5) Conversion funnel (visited → viewed product → added cart → purchased); (6) Device split pie (Mobile vs Desktop) + Top 5 products by time spent.</t>
  </si>
  <si>
    <t>Component/function naming follows repo conventions</t>
  </si>
  <si>
    <t>Admin tasks (A1–A4)</t>
  </si>
  <si>
    <t>All 6 sections render; date range updates all; heatmap interactive; funnel drop-off percentages visible; charts responsive.</t>
  </si>
  <si>
    <t>Unit tests written for new logic; existing tests pass on CI</t>
  </si>
  <si>
    <t>T-V2-005</t>
  </si>
  <si>
    <t>Playwright E2E covers happy path + at least one error case</t>
  </si>
  <si>
    <t>Live Site Activity Widget (Real-Time)</t>
  </si>
  <si>
    <t>Small floating widget or dashboard card that shows currently active visitors and current page they're on, updated in real time via Supabase Realtime subscription. Show visitor count with pulse animation on change. Toggle to hide.</t>
  </si>
  <si>
    <t>Count updates in real time without page reload; pulse animation smooth; toggle preference saved to profile.</t>
  </si>
  <si>
    <t>Supabase Realtime, V2 Analytics API</t>
  </si>
  <si>
    <t>T-V2-006</t>
  </si>
  <si>
    <t>Storefront UI</t>
  </si>
  <si>
    <t>Public Storefront Layout Shell (SSR)</t>
  </si>
  <si>
    <t>Full-Stack, Integration</t>
  </si>
  <si>
    <t>Build the Next.js SSR layout for the vendor's public storefront (visible to their customers, not vendor). Header with vendor logo, categories nav, search bar, cart icon; main slot; footer with policies + social links. Rendered server-side per vendor domain/subdomain. Layout picks up vendor's theme tokens.</t>
  </si>
  <si>
    <t>SSR works; per-vendor branding injected correctly; Lighthouse Performance ≥85 and SEO ≥95 on affected pages; no layout shift.</t>
  </si>
  <si>
    <t>Storybook story added for reusable components</t>
  </si>
  <si>
    <t>V2 Theme engine, V4 cart state</t>
  </si>
  <si>
    <t>Lighthouse Performance ≥85 and SEO ≥95 on affected storefront pages</t>
  </si>
  <si>
    <t>T-V2-007</t>
  </si>
  <si>
    <t>Security</t>
  </si>
  <si>
    <t>All API routes protected with JWT + RLS check; no unauthenticated data leak</t>
  </si>
  <si>
    <t>Storefront Homepage — Hero, Featured Products, Categories</t>
  </si>
  <si>
    <t>Build the homepage template rendered on vendor's public site. Sections: (1) Hero banner (image/video + headline + CTA, configurable per vendor); (2) Featured products grid (auto-picks best-sellers or vendor-featured); (3) Category tiles; (4) Newsletter signup; (5) Trust panel row (Secured Checkout, COD, Fast Delivery). All theme-token-driven.</t>
  </si>
  <si>
    <t>Grand total</t>
  </si>
  <si>
    <t>All sections render for any vendor; images optimized via Cloudinary; SSR outputs valid HTML; mobile perfect.</t>
  </si>
  <si>
    <t>Sensitive keys (courier, payment, VCC, OAuth tokens) encrypted at rest via A4's key vault</t>
  </si>
  <si>
    <t>V3 products API, A4 Cloudinary</t>
  </si>
  <si>
    <t>No secrets, PII, or card data in logs or console output (verified by log scanner)</t>
  </si>
  <si>
    <t>T-V2-008</t>
  </si>
  <si>
    <t>Input validated on client AND server with Zod schemas</t>
  </si>
  <si>
    <t>Storefront Category Landing Pages + Search Results</t>
  </si>
  <si>
    <t>Build /category/[slug] pages with product grid + filters sidebar (price range slider, variant checkboxes, sort dropdown). Also build /search page consuming search backend. Both SEO-optimized with per-category meta tags.</t>
  </si>
  <si>
    <t>Performance</t>
  </si>
  <si>
    <t>Filters update results without full reload; sort works; empty state clear; each page has unique title/description.</t>
  </si>
  <si>
    <t>API P95 latency &lt;500ms on realistic data volumes</t>
  </si>
  <si>
    <t>V2 Storefront layout, V3 products API</t>
  </si>
  <si>
    <t>T-V2-009</t>
  </si>
  <si>
    <t>Theme UI</t>
  </si>
  <si>
    <t>AI Theme Rebranding Prompt Interface</t>
  </si>
  <si>
    <t>Images served via Cloudinary auto-WebP/AVIF — no raw PNG/JPG</t>
  </si>
  <si>
    <t>In vendor dashboard under /storefront/theme, provide an interface where vendor types a style prompt ('modern minimal', 'aggressive sports look', 'luxurious gold accents'). Show before/after live preview side-by-side. Vendor can accept, retry with new prompt, or manually tweak specific tokens (color picker, font selector).</t>
  </si>
  <si>
    <t>Preview updates in &lt;3s after AI response; before/after comparison clear; accept saves to DB and reflects on storefront within 30s.</t>
  </si>
  <si>
    <t>No N+1 database queries; use joins or single queries</t>
  </si>
  <si>
    <t>V2 Theme rebranding backend</t>
  </si>
  <si>
    <t>T-V2-010</t>
  </si>
  <si>
    <t>Accessibility</t>
  </si>
  <si>
    <t>Keyboard-navigable; focus states visible; ARIA labels on icon-only buttons</t>
  </si>
  <si>
    <t>Storefront Preview Modal (Live in Dashboard)</t>
  </si>
  <si>
    <t>Whenever vendor changes theme, products, or homepage sections, they can click 'Preview Storefront' to see the live public storefront in an iframe modal (desktop and mobile view toggles). Include a 'copy shareable link' button.</t>
  </si>
  <si>
    <t>Color contrast passes WCAG AA (4.5:1 for body text)</t>
  </si>
  <si>
    <t>Preview loads in &lt;2s; toggle between desktop/mobile viewports works; share link opens in new tab correctly.</t>
  </si>
  <si>
    <t>Storefront layout</t>
  </si>
  <si>
    <t>Screen-reader tested on core flows</t>
  </si>
  <si>
    <t>T-V2-011</t>
  </si>
  <si>
    <t>Documentation</t>
  </si>
  <si>
    <t>PR description explains what, why, screenshots for UI</t>
  </si>
  <si>
    <t>Analytics Backend</t>
  </si>
  <si>
    <t>Analytics Data Model + Aggregation Views</t>
  </si>
  <si>
    <t>New env vars added to .env.example with comments</t>
  </si>
  <si>
    <t>Design Supabase tables: `page_views` (vendor_id, session_id, page, city, country, device, referrer, timestamp), `sessions` (session_id, vendor_id, customer_id, started_at, ended_at). Create materialized views for common aggregations (daily_summary, geo_heatmap, source_attribution) refreshed every 5 minutes to keep queries fast. Add proper indexes.</t>
  </si>
  <si>
    <t>Materialized views refresh on schedule; queries return in &lt;200ms on 100k+ rows; RLS enforced.</t>
  </si>
  <si>
    <t>README updated if setup steps changed</t>
  </si>
  <si>
    <t>Supabase base</t>
  </si>
  <si>
    <t>Review</t>
  </si>
  <si>
    <t>T-V2-012</t>
  </si>
  <si>
    <t>At least 1 approving review; UI changes reviewed by A1 (Design Lead)</t>
  </si>
  <si>
    <t>Analytics API Endpoints (5 Routes)</t>
  </si>
  <si>
    <t>Merge conflicts resolved; branch rebased on latest main</t>
  </si>
  <si>
    <t>Deployment</t>
  </si>
  <si>
    <t>Build /api/analytics/summary (KPI cards data), /api/analytics/traffic (daily traffic with source breakdown), /api/analytics/geo (city heatmap data), /api/analytics/funnel (conversion funnel), /api/analytics/devices (device + top products). All protected by JWT + return 401 for wrong vendor. Support date range query params.</t>
  </si>
  <si>
    <t>All 5 endpoints return correct JSON; respond in &lt;500ms; 401 for unauthorized; unit tests pass.</t>
  </si>
  <si>
    <t>Deployed to Vercel preview; QA verified acceptance criteria</t>
  </si>
  <si>
    <t>Analytics data model</t>
  </si>
  <si>
    <t>Feature-flagged if not ready for production</t>
  </si>
  <si>
    <t>T-V2-013</t>
  </si>
  <si>
    <t>Monitoring</t>
  </si>
  <si>
    <t>Sentry integrated for new error surfaces; alerts on critical</t>
  </si>
  <si>
    <t>Client-Side Tracking Script (Storefront Beacon)</t>
  </si>
  <si>
    <t>Analytics events fired for user-facing actions</t>
  </si>
  <si>
    <t>Build a lightweight (&lt; 5KB) JavaScript beacon injected into every storefront page that sends page_view events (with device, city via GeoIP, referrer, session, product context if PDP) to /api/track. Debounced to avoid overload. Respects Do Not Track.</t>
  </si>
  <si>
    <t>Beacon script loads async, doesn't block page render; events land in DB; GDPR opt-out respected.</t>
  </si>
  <si>
    <t>GeoIP service, page_views table</t>
  </si>
  <si>
    <t>T-V2-014</t>
  </si>
  <si>
    <t>Storefront Backend</t>
  </si>
  <si>
    <t>Multi-Tenant Storefront Routing (Domain → Vendor)</t>
  </si>
  <si>
    <t>Middleware in Next.js that resolves incoming domain/subdomain (e.g., www.brandxyz.com or brandxyz.digishop.com) to a vendor_id. Uses `domains` table (domain, vendor_id, verified, ssl_status). Caches lookup for 60s. Falls through 404 if unknown domain.</t>
  </si>
  <si>
    <t>Domain lookup &lt;20ms via cache; correct vendor loaded for every request; unknown domain returns proper 404.</t>
  </si>
  <si>
    <t>A3 domain registrar backend</t>
  </si>
  <si>
    <t>T-V2-015</t>
  </si>
  <si>
    <t>SEO Meta Tags + Sitemap.xml + Robots.txt Generation</t>
  </si>
  <si>
    <t>For every storefront page, dynamically generate &lt;title&gt;, meta description, Open Graph, Twitter Card, canonical URL, structured data (JSON-LD for Product/Offer/Organization/BreadcrumbList). Also auto-generate /sitemap.xml per vendor domain listing all products + categories with lastmod dates. Serve /robots.txt with sensible defaults.</t>
  </si>
  <si>
    <t>Google Rich Results test passes; sitemap accessible and valid XML; robots.txt served correctly.</t>
  </si>
  <si>
    <t>Products + Categories tables</t>
  </si>
  <si>
    <t>T-V2-016</t>
  </si>
  <si>
    <t>Theme Backend</t>
  </si>
  <si>
    <t>AI Theme Rebranding Service</t>
  </si>
  <si>
    <t>Build /api/theme/rebrand endpoint: takes vendor prompt + selected base theme, calls LLM with a strict output schema (colors, fonts, radii, spacings), validates output, persists to `theme_tokens` table keyed by vendor_id. Uses smart token optimization — only sends theme schema + prompt, not full site code (per blueprint §9.3).</t>
  </si>
  <si>
    <t>New tokens saved; storefront reflects change on next request; average LLM cost per rebrand &lt;$0.05; cost tracked per call.</t>
  </si>
  <si>
    <t>A4 LLM provider, A4 AI shared service</t>
  </si>
  <si>
    <t>T-V2-017</t>
  </si>
  <si>
    <t>Theme Token Injection at SSR + Cache Layer</t>
  </si>
  <si>
    <t>During storefront SSR, fetch vendor's theme tokens from `theme_tokens` and inject as CSS variables in the root &lt;html&gt; tag. Cache per vendor with 5-min TTL, invalidated whenever vendor changes theme. Fall back to default theme if tokens missing.</t>
  </si>
  <si>
    <t>Tokens injected correctly on every request; cache hit rate &gt;95%; no flash of unstyled content (FOUC); fallback works.</t>
  </si>
  <si>
    <t>Theme rebranding service, theme_tokens table</t>
  </si>
  <si>
    <t>T-V2-018</t>
  </si>
  <si>
    <t>Storefront Search Backend (Postgres Full-Text)</t>
  </si>
  <si>
    <t>Build /api/storefront/search endpoint using Postgres full-text search + trigram similarity for typo tolerance. Search across product name, description, tags, category. Rank by relevance + recent sales. Scoped to the current vendor's domain.</t>
  </si>
  <si>
    <t>Search returns relevant results in &lt;200ms on 10k products; typos still match; ranking sensible in test cases.</t>
  </si>
  <si>
    <t>Products table indexes</t>
  </si>
  <si>
    <t>T-V2-019</t>
  </si>
  <si>
    <t>V2 Test Suite — Analytics + Storefront + Theme</t>
  </si>
  <si>
    <t>Jest tests for analytics aggregation math. Playwright E2E: (1) full dashboard load with real data; (2) filter analytics by date range; (3) rebrand storefront via prompt and verify change on public site; (4) storefront SEO — Lighthouse SEO score ≥95.</t>
  </si>
  <si>
    <t>All 4 flows pass on CI; Lighthouse SEO ≥95; 80%+ coverage on V2 files.</t>
  </si>
  <si>
    <t>All V2 tasks above</t>
  </si>
  <si>
    <t>T-V3-001</t>
  </si>
  <si>
    <t>Products UI</t>
  </si>
  <si>
    <t>Product Listing Page — Table View + Filters</t>
  </si>
  <si>
    <t>Build /products page: table showing all vendor's products with columns (thumbnail, name, SKU, price, stock, category, status, last updated, actions). Above table: search box, category filter, status filter (published/draft/out-of-stock), sort dropdown. Bulk select via checkboxes with bulk actions bar (delete, change category, mark draft/published).</t>
  </si>
  <si>
    <t>Table paginates 20 per page; renders 5k+ products smoothly (virtualized if needed); search/filter/sort all work; bulk actions confirm before executing.</t>
  </si>
  <si>
    <t>Products API</t>
  </si>
  <si>
    <t>T-V3-002</t>
  </si>
  <si>
    <t>Add / Edit Product Form — Multi-Tab Layout</t>
  </si>
  <si>
    <t>Full product form with 4 tabs: (1) Basic — title, description (rich text), category, tags, brand; (2) Pricing — price, compare-at-price, cost, tax; (3) Variants — variant options (size/color/etc.) with matrix generation, per-variant price + stock + SKU; (4) Media — 5-image uploader + AI generation button; (5) SEO — meta title, description, URL slug. Save as draft or publish. Auto-save every 30s.</t>
  </si>
  <si>
    <t>All 5 tabs functional; validations block invalid submission; auto-save works; navigating away with unsaved changes warns.</t>
  </si>
  <si>
    <t>Cloudinary integration, AI tools</t>
  </si>
  <si>
    <t>T-V3-003</t>
  </si>
  <si>
    <t>Product Image Uploader (Drag-and-Drop, Up to 5)</t>
  </si>
  <si>
    <t>Rich image uploader area: drag-and-drop 1-5 images at once, live thumbnails in a reorderable grid (drag to reorder), delete button per image, primary image indicator. Show upload progress bar per image. Each image uploaded directly to Cloudinary via signed URL.</t>
  </si>
  <si>
    <t>Upload succeeds up to 5; reorder saves; delete removes from Cloudinary too; primary indicator swaps.</t>
  </si>
  <si>
    <t>Cloudinary backend</t>
  </si>
  <si>
    <t>STATUS BREAKDOWN BY MEMBER</t>
  </si>
  <si>
    <t>T-V3-004</t>
  </si>
  <si>
    <t>AI Image Generation Modal</t>
  </si>
  <si>
    <t>Button 'Generate images with AI' on product form opens a modal: vendor confirms product description + selects style (studio white bg / lifestyle / flat lay / dark moody), clicks Generate. Shows loading state, then a 4-image grid to pick from. Vendor selects one or more → they get added to product images.</t>
  </si>
  <si>
    <t>Modal opens; images generate in &lt;15s; selection adds to product uploader; regenerate button works with a different seed.</t>
  </si>
  <si>
    <t>AI image gen backend</t>
  </si>
  <si>
    <t>T-V3-005</t>
  </si>
  <si>
    <t>Total</t>
  </si>
  <si>
    <t>AI Copywriting UI (Title + Description)</t>
  </si>
  <si>
    <t>Inline 'Write with AI' button next to title and description fields. Clicking opens a small popover: vendor types product name/keywords, selects tone (Professional / Friendly / Luxurious / Playful), clicks Generate. Shows 3 title options and 3 description options — vendor picks one for each, or regenerates.</t>
  </si>
  <si>
    <t>AI generates within 5s; SEO title ≤60 chars; descriptions have proper structure (hook + features + CTA).</t>
  </si>
  <si>
    <t>AI copywriting backend</t>
  </si>
  <si>
    <t>T-V3-006</t>
  </si>
  <si>
    <t>Variants Matrix Builder — UI</t>
  </si>
  <si>
    <t>In the Variants tab: vendor adds option types (e.g., Size with values S/M/L, Color with values Red/Blue) → matrix auto-generates all combinations (S/Red, S/Blue, M/Red, ...). For each row: SKU, price, stock, image (optional), enable/disable toggle. Bulk-set price/stock across all variants.</t>
  </si>
  <si>
    <t>Matrix generates correctly for 2 and 3 option types; bulk-set works; disabled variants hidden on storefront.</t>
  </si>
  <si>
    <t>Variants DB schema</t>
  </si>
  <si>
    <t>T-V3-007</t>
  </si>
  <si>
    <t>Inventory UI</t>
  </si>
  <si>
    <t>Smart Inventory Screen with Instant Update Pop-Up</t>
  </si>
  <si>
    <t>Build /inventory page: dense, spreadsheet-like table of all products+variants with columns (image, name, SKU, price, stock, low-stock threshold). Click any editable cell (price, stock, threshold) → inline pop-up to edit → save without leaving the list. Uses optimistic UI (updates instantly, rolls back on server error). Keyboard shortcuts: Enter saves, Esc cancels, arrow keys navigate cells.</t>
  </si>
  <si>
    <t>Edits save in &lt;500ms; keyboard shortcuts work; optimistic rollback on error visible; feature saves vendor 80% of time (measured).</t>
  </si>
  <si>
    <t>Products PATCH API</t>
  </si>
  <si>
    <t>T-V3-008</t>
  </si>
  <si>
    <t>Bulk Inventory Actions + CSV Import/Export</t>
  </si>
  <si>
    <t>Above inventory table: bulk actions bar (bulk edit price/stock, bulk disable, bulk export). Add 'Import from CSV' button — vendor uploads CSV, sees preview table with validation errors highlighted, confirms import. Also 'Export to CSV' downloads current filtered view.</t>
  </si>
  <si>
    <t>CSV import handles 5k rows in &lt;30s; validation errors clear; export includes all filtered products.</t>
  </si>
  <si>
    <t>Products API bulk endpoints</t>
  </si>
  <si>
    <t>T-V3-009</t>
  </si>
  <si>
    <t>Products Backend</t>
  </si>
  <si>
    <t>Products Data Model + CRUD API</t>
  </si>
  <si>
    <t>Design `products` table (id, vendor_id, title, description, category_id, tags[], price, compare_price, cost, seo_slug, seo_title, seo_description, status, created_at, updated_at) and `product_variants` (id, product_id, sku, option_values, price, stock, image_url, enabled). Add proper RLS so vendors only access their own. Build REST + GraphQL endpoints for CRUD.</t>
  </si>
  <si>
    <t>All CRUD endpoints work; RLS enforced; queries fast (&lt;200ms P95); indexes on vendor_id + status + category_id.</t>
  </si>
  <si>
    <t>T-V3-010</t>
  </si>
  <si>
    <t>Cloudinary Signed Upload Integration</t>
  </si>
  <si>
    <t>Backend endpoint /api/cloudinary/sign that generates signed upload URLs (with vendor_id folder + max file size + allowed types). Frontend uploads directly to Cloudinary (never through our server). After upload, image URL saved to product. Auto-set WebP/AVIF format + quality auto + width limits (max 2000px).</t>
  </si>
  <si>
    <t>Signed URLs generated correctly; direct upload works; images auto-optimized; folder structure prevents vendor collisions.</t>
  </si>
  <si>
    <t>Cloudinary account (A4)</t>
  </si>
  <si>
    <t>T-V3-011</t>
  </si>
  <si>
    <t>AI Backend</t>
  </si>
  <si>
    <t>AI Image Generation Backend Service</t>
  </si>
  <si>
    <t>Wraps chosen image gen provider (DALL-E 3 / Stable Diffusion via Replicate). Endpoint /api/ai/generate-images takes product context + style, calls provider, applies NSFW filter, saves 4 results to Cloudinary, returns URLs. Rate-limited per vendor. Tracks cost per call.</t>
  </si>
  <si>
    <t>4 usable images returned in &lt;15s; NSFW filtered out; cost logged per vendor for later billing.</t>
  </si>
  <si>
    <t>AI provider account, Cloudinary</t>
  </si>
  <si>
    <t>T-V3-012</t>
  </si>
  <si>
    <t>AI Copywriting Backend Service</t>
  </si>
  <si>
    <t>Endpoint /api/ai/copywriting takes product keywords + tone. Calls LLM with a strict prompt template that includes DigiShop AI's ecommerce best practices (hook first, features as bullets, CTA at end). Returns 3 title + 3 description variants. SEO title enforced ≤60 chars, description ≥120 words.</t>
  </si>
  <si>
    <t>Returns in &lt;5s; character limits respected; token cost &lt;$0.02 per generation; results are on-brand.</t>
  </si>
  <si>
    <t>A4 LLM provider</t>
  </si>
  <si>
    <t>T-V3-013</t>
  </si>
  <si>
    <t>Inventory Backend</t>
  </si>
  <si>
    <t>Inventory Update API (Instant Update)</t>
  </si>
  <si>
    <t>Endpoints: PATCH /api/inventory/:variant_id (single field update — price, stock, threshold), POST /api/inventory/bulk (bulk updates). Optimistic concurrency (version field). Emits `stock_changed` event for low-stock detection.</t>
  </si>
  <si>
    <t>Instant updates &lt;300ms P95; concurrent edits detected; events fire for low-stock detection.</t>
  </si>
  <si>
    <t>Products data model</t>
  </si>
  <si>
    <t>T-V3-014</t>
  </si>
  <si>
    <t>Low-Stock Alert Engine</t>
  </si>
  <si>
    <t>Background listener on `stock_changed` events. When a variant's stock ≤ its threshold, insert a `notifications` row (vendor_id, type='low_stock', variant_id) + send email via Resend + increment in-app badge count. Deduplicate — only one alert per variant per 24 hours.</t>
  </si>
  <si>
    <t>Alerts fire correctly; email delivers; badge visible in nav; no spam (dedup works).</t>
  </si>
  <si>
    <t>Notifications table, Resend</t>
  </si>
  <si>
    <t>T-V3-015</t>
  </si>
  <si>
    <t>Categories &amp; Tags Backend</t>
  </si>
  <si>
    <t>Design `categories` table (id, vendor_id, name, parent_id for tree structure, slug, image_url, sort_order). Endpoints for CRUD. Support up to 3-level nesting. Automatic slug generation from name. `tags` handled as text[] on products with GIN index for fast search.</t>
  </si>
  <si>
    <t>Categories nest properly; slug uniqueness enforced per vendor; tag search fast (&lt;100ms).</t>
  </si>
  <si>
    <t>T-V3-016</t>
  </si>
  <si>
    <t>Bulk CSV Import + Export Backend</t>
  </si>
  <si>
    <t>Endpoints /api/products/import-csv (upload CSV, validate every row against schema, return errors OR create products transactionally) and /api/products/export-csv (streams CSV of filtered products). Import supports up to 5k rows per file.</t>
  </si>
  <si>
    <t>5k-row import completes in &lt;30s; all-or-nothing transaction; export streams without OOM.</t>
  </si>
  <si>
    <t>T-V3-017</t>
  </si>
  <si>
    <t>V3 Test Suite — Products + AI Tools + Inventory</t>
  </si>
  <si>
    <t>Unit tests for product CRUD, variants matrix logic, CSV parser. Playwright E2E: add-product with AI image + AI copy end-to-end, bulk inventory update, CSV import.</t>
  </si>
  <si>
    <t>All flows pass; 80%+ coverage on V3 files; performance test — 1k products loads in &lt;1s.</t>
  </si>
  <si>
    <t>All V3 tasks above</t>
  </si>
  <si>
    <t>T-V4-001</t>
  </si>
  <si>
    <t>Orders UI</t>
  </si>
  <si>
    <t>Vendor Order Management Log</t>
  </si>
  <si>
    <t>Build /orders page in vendor dashboard: table of all orders (order#, customer, total, payment status, delivery status, date, actions). Filters: status, payment method, date range, delivery method. Bulk export to CSV. Real-time badge for new orders (Supabase Realtime).</t>
  </si>
  <si>
    <t>Table paginates; filters work; new orders appear without refresh; export works.</t>
  </si>
  <si>
    <t>V4 orders API</t>
  </si>
  <si>
    <t>T-V4-002</t>
  </si>
  <si>
    <t>Order Detail View + Actions</t>
  </si>
  <si>
    <t>Order detail page: line items grid, customer info card, payment breakdown, delivery tracking, event timeline (paid → confirmed → shipped → delivered), action buttons (Mark Shipped, Cancel, Issue Refund, Contact Customer via WhatsApp). Print packing slip button.</t>
  </si>
  <si>
    <t>All actions functional; timeline shows real events; refund triggers A2 escrow release; packing slip PDF opens.</t>
  </si>
  <si>
    <t>Orders backend, A2 escrow</t>
  </si>
  <si>
    <t>T-V4-003</t>
  </si>
  <si>
    <t>Product Detail Page (PDP) — Full Layout</t>
  </si>
  <si>
    <t>Public PDP customers see: image gallery (with zoom + video support), title, price, variant selectors, add-to-cart button, description tabs, related products carousel, trust badges panel, Secured Checkout badge, WhatsApp chat widget. Sticky add-to-cart on mobile scroll.</t>
  </si>
  <si>
    <t>PDP renders for all product types; variant switching updates price/image/stock; mobile perfect.</t>
  </si>
  <si>
    <t>V2 storefront layout, V3 products</t>
  </si>
  <si>
    <t>T-V4-004</t>
  </si>
  <si>
    <t>Cart Drawer + Full Cart Page</t>
  </si>
  <si>
    <t>Slide-out cart drawer accessible from every page (right side): line items, qty controls, subtotal, checkout CTA. Separate /cart page for larger review: coupon code entry, delivery estimate, related products, proceed to checkout. Persistent across pages.</t>
  </si>
  <si>
    <t>Drawer smooth; qty updates instantly; totals recalculate; coupon validation works.</t>
  </si>
  <si>
    <t>Cart state manager</t>
  </si>
  <si>
    <t>T-V4-005</t>
  </si>
  <si>
    <t>Checkout Flow — Multi-Step UI</t>
  </si>
  <si>
    <t>3-step checkout on storefront: (1) Contact + Shipping (autofill from customer account if logged in); (2) Payment method (COD / Bank / Card via gateway / Secured Checkout escrow) — show fees per method; (3) Review + Place Order. Order summary sidebar visible throughout. Support guest checkout.</t>
  </si>
  <si>
    <t>All 3 steps navigate correctly; guest checkout works; account customer sees pre-filled; correct fees shown per method.</t>
  </si>
  <si>
    <t>V4 payment integrations, A2 escrow</t>
  </si>
  <si>
    <t>T-V4-006</t>
  </si>
  <si>
    <t>Thank-You / Order Confirmation Page</t>
  </si>
  <si>
    <t>Post-checkout success page: order number, order summary, delivery ETA, WhatsApp tracking link, share buttons (WhatsApp/Facebook), sign-up prompt for guests. Fire GA/Meta pixel purchase event.</t>
  </si>
  <si>
    <t>Page renders correctly; tracking link works; pixel fires with correct value; guest signup adds account to their order.</t>
  </si>
  <si>
    <t>Order data</t>
  </si>
  <si>
    <t>T-V4-007</t>
  </si>
  <si>
    <t>Marketing UI</t>
  </si>
  <si>
    <t>Meta Ads Campaign List + Detail Page</t>
  </si>
  <si>
    <t>Vendor /campaigns page: table of campaigns (name, product, budget, status, impressions, CTR, ROAS, actions). Detail page: performance charts over time, best-performing creatives, cost breakdown, pause/resume/edit.</t>
  </si>
  <si>
    <t>Table and charts render with live data from Meta API; actions call correct backend routes.</t>
  </si>
  <si>
    <t>Meta Ads backend</t>
  </si>
  <si>
    <t>T-V4-008</t>
  </si>
  <si>
    <t>One-Click Ad Launch Wizard</t>
  </si>
  <si>
    <t>Modal wizard on /campaigns/new: (1) Select product; (2) AI generates 3 ad copy variants — vendor picks/edits; (3) AI picks targeting (age, gender, city, interests) — vendor can adjust; (4) Set budget + duration; (5) Preview + Launch. Uses vendor's VCC as payment method.</t>
  </si>
  <si>
    <t>Wizard flows correctly; AI copy loads; ad successfully launches on Meta sandbox; VCC used as payment.</t>
  </si>
  <si>
    <t>AI ad copy backend, Meta API, V4 wallet</t>
  </si>
  <si>
    <t>T-V4-009</t>
  </si>
  <si>
    <t>Email Marketing Dashboard</t>
  </si>
  <si>
    <t>Vendor /email page: pre-built campaign templates (Abandoned Cart, Post-Purchase Thanks, Win-back, Seasonal Discount). Each shows preview + one-click activate + performance stats (sent, opened, clicked, converted).</t>
  </si>
  <si>
    <t>Templates render; activate/deactivate saves; stats update from Resend webhook.</t>
  </si>
  <si>
    <t>A4 Resend, email templates</t>
  </si>
  <si>
    <t>T-V4-010</t>
  </si>
  <si>
    <t>Wallet UI</t>
  </si>
  <si>
    <t>Wallet Dashboard + VCC Card View</t>
  </si>
  <si>
    <t>Vendor /wallet page: prominent balance card, top-up button, VCC card view (masked with 'reveal' button + copy to clipboard), transactions table (filter by type: top-up / subscription / VCC funding / refund).</t>
  </si>
  <si>
    <t>Balance accurate; VCC masked by default; reveal requires password re-confirmation; transactions filter works.</t>
  </si>
  <si>
    <t>V4 wallet backend</t>
  </si>
  <si>
    <t>T-V4-011</t>
  </si>
  <si>
    <t>VCC Generation &amp; Top-Up Flow</t>
  </si>
  <si>
    <t>Modal: (1) 'Generate VCC' — confirm identity (KYC re-check if needed) → progress spinner → success screen with VCC details + step-by-step 'How to add to Meta Ads' guide with screenshots. (2) Separate VCC top-up flow — vendor moves money from wallet to VCC.</t>
  </si>
  <si>
    <t>VCC generates via bank API; onboarding guide clear; top-up updates VCC balance in real time.</t>
  </si>
  <si>
    <t>V4 VCC backend, bank API</t>
  </si>
  <si>
    <t>T-V4-012</t>
  </si>
  <si>
    <t>Orders Backend</t>
  </si>
  <si>
    <t>Orders Data Model + State Machine</t>
  </si>
  <si>
    <t>Design `orders` (id, vendor_id, customer_id, total, currency, payment_method, payment_status, delivery_status, escrow_status, created_at) + `order_items` (order_id, product_id, variant_id, qty, unit_price). State machine: pending → paid → confirmed → shipped → delivered → completed (with cancelled + refunded branches). Emit event on every transition.</t>
  </si>
  <si>
    <t>State transitions enforce rules (can't skip); events emitted correctly; audit log for every change.</t>
  </si>
  <si>
    <t>Products, Customers</t>
  </si>
  <si>
    <t>T-V4-013</t>
  </si>
  <si>
    <t>Orders CRUD API + Real-Time Updates</t>
  </si>
  <si>
    <t>REST endpoints for orders list, detail, update status, cancel, refund. Also Supabase Realtime channel per vendor for new-order notifications. Refund endpoint triggers A2's escrow release/refund logic.</t>
  </si>
  <si>
    <t>All endpoints work; Realtime channel delivers within 2s of new order; refund integrates with A2.</t>
  </si>
  <si>
    <t>Orders data model, A2 escrow</t>
  </si>
  <si>
    <t>T-V4-014</t>
  </si>
  <si>
    <t>Checkout Backend</t>
  </si>
  <si>
    <t>Cart State Backend (Guest + Logged-In)</t>
  </si>
  <si>
    <t>For logged-in customers: `carts` table (id, customer_id, vendor_id, items[], updated_at). For guests: signed cookie holding cart. Merge guest cart into customer cart on login. Cart expires after 30 days idle.</t>
  </si>
  <si>
    <t>State survives refresh; merge on login works without duplicates; expired carts cleaned up.</t>
  </si>
  <si>
    <t>Auth</t>
  </si>
  <si>
    <t>T-V4-015</t>
  </si>
  <si>
    <t>PayFast Payment Gateway Integration</t>
  </si>
  <si>
    <t>Integration</t>
  </si>
  <si>
    <t>Server-side integration with PayFast (Pakistan's popular gateway). Create checkout session, handle redirect, verify webhook signature, mark order paid on success. Full error handling for declines/timeouts.</t>
  </si>
  <si>
    <t>Payment succeeds in sandbox end-to-end; webhook signature verified; declines handled gracefully.</t>
  </si>
  <si>
    <t>PayFast merchant account (A2)</t>
  </si>
  <si>
    <t>T-V4-016</t>
  </si>
  <si>
    <t>Safepay + Stripe Gateway Integrations</t>
  </si>
  <si>
    <t>Parallel integrations with Safepay (local PK) and Stripe (international). Same webhook pattern. Stripe supports Apple Pay + Google Pay + multi-currency + Link one-tap checkout.</t>
  </si>
  <si>
    <t>Both gateways succeed in sandbox; multi-currency displays; Apple/Google Pay work.</t>
  </si>
  <si>
    <t>Safepay + Stripe accounts (A2)</t>
  </si>
  <si>
    <t>T-V4-017</t>
  </si>
  <si>
    <t>COD Order Flow + WhatsApp Verification</t>
  </si>
  <si>
    <t>When customer selects COD, create order marked 'pending_verification'. Immediately fire a WhatsApp message to customer with a verify link. Only after clicking verify does order enter 'confirmed' state (reducing RTO).</t>
  </si>
  <si>
    <t>Order created; WhatsApp fires within 30s; verify link works and updates state; expired verify links handled.</t>
  </si>
  <si>
    <t>A4 WhatsApp Business API</t>
  </si>
  <si>
    <t>T-V4-018</t>
  </si>
  <si>
    <t>Marketing Backend</t>
  </si>
  <si>
    <t>Meta Ads API Integration + Campaign Sync</t>
  </si>
  <si>
    <t>Full integration with Meta Marketing API v18+. Create campaigns, ad sets, ads, targeting, budgets. Handle OAuth for vendor's Meta Business account. Sync job every 15 min pulls campaign metrics into our DB.</t>
  </si>
  <si>
    <t>Real ad launched successfully in Meta sandbox; sync job runs on schedule; failures retried with backoff.</t>
  </si>
  <si>
    <t>Meta developer setup (A4)</t>
  </si>
  <si>
    <t>T-V4-019</t>
  </si>
  <si>
    <t>AI Ad Copy + Targeting Backend</t>
  </si>
  <si>
    <t>/api/marketing/ad-copy: takes product_id, returns 3 ad copy variants using LLM. /api/marketing/targeting: returns AI-suggested targeting (age, gender, cities, interests) based on product category + vendor's existing customer data. Token optimization — send only product + audience context, not entire codebase (per §9.3).</t>
  </si>
  <si>
    <t>3 variants returned in &lt;5s; targeting suggestions convert (measured via A/B); cost per call &lt;$0.03.</t>
  </si>
  <si>
    <t>A4 AI shared service</t>
  </si>
  <si>
    <t>T-V4-020</t>
  </si>
  <si>
    <t>Wallet Backend</t>
  </si>
  <si>
    <t>Wallet + VCC Data Model + Ledger</t>
  </si>
  <si>
    <t>Tables: `wallets` (vendor_id, balance, currency), `wallet_transactions` (append-only ledger: type, amount, balance_after, ref_id, created_at). `vcc_cards` (id, vendor_id, bank_ref, masked_pan, balance, status). All balance derivations from ledger.</t>
  </si>
  <si>
    <t>Ledger integrity holds; wallet.balance always == sum of transactions; VCC balance mirrors bank.</t>
  </si>
  <si>
    <t>Financial reconciliation</t>
  </si>
  <si>
    <t>T-V4-021</t>
  </si>
  <si>
    <t>Partner Bank API Integration for VCC Issuance</t>
  </si>
  <si>
    <t>Integrate with partner bank's Banking-as-a-Service API (Bank Alfalah or equivalent) to issue Virtual Credit Cards. Handle KYC checks, card lifecycle (issue → active → freeze → close), balance top-up from wallet, webhooks for transactions.</t>
  </si>
  <si>
    <t>Real VCC issued in bank sandbox; can freeze/close via API; top-ups reflected on card within 60s.</t>
  </si>
  <si>
    <t>Bank partner agreement + API access</t>
  </si>
  <si>
    <t>T-V4-022</t>
  </si>
  <si>
    <t>Wallet Top-Up via Local Gateways</t>
  </si>
  <si>
    <t>Endpoints to top up wallet via JazzCash, EasyPaisa, Bank Transfer. Each triggers a payment via A2's gateway integrations. On webhook confirmation, credit wallet ledger.</t>
  </si>
  <si>
    <t>Top-ups from each method credit within 60s of payment success; failed payments don't credit.</t>
  </si>
  <si>
    <t>Payment gateways</t>
  </si>
  <si>
    <t>T-V4-023</t>
  </si>
  <si>
    <t>V4 Test Suite — Orders + Checkout + Marketing + Wallet</t>
  </si>
  <si>
    <t>Playwright E2E: (1) customer places order via COD → verification → vendor sees it; (2) full checkout via PayFast; (3) launch a Meta ad from wizard end-to-end; (4) top-up wallet → generate VCC.</t>
  </si>
  <si>
    <t>All 4 flows pass on CI; wallet ledger integrity verified in test.</t>
  </si>
  <si>
    <t>All V4 tasks above</t>
  </si>
  <si>
    <t>T-A1-001</t>
  </si>
  <si>
    <t>Design System</t>
  </si>
  <si>
    <t>globals.css + Full Design Token System</t>
  </si>
  <si>
    <t>Define ALL CSS variables that both Vendor and Admin panels use: color palette (brand, semantic red/green/amber/blue, neutrals with 10 shades each), typography (font families, sizes, line heights, weights), spacing scale (4/8/12/16/24/32/48/64), border radii, shadow presets (including 3D premium shadows per blueprint), z-index scale, breakpoints. Dark mode variants for all.</t>
  </si>
  <si>
    <t>Every team imports from a single source; dark mode toggle works globally; documented in Storybook.</t>
  </si>
  <si>
    <t>Brand guidelines</t>
  </si>
  <si>
    <t>T-A1-002</t>
  </si>
  <si>
    <t>Base Component Library (25+ Components)</t>
  </si>
  <si>
    <t>Build the reusable component library: Button (5 variants), Input, Textarea, Select, Checkbox, Radio, Toggle, Card, Modal, Drawer, Tabs, Stepper, Toast, Skeleton, Avatar, Badge, Table (with sorting/pagination), Chart wrappers (Line/Bar/Donut/Sparkline via Recharts), Tooltip, Popover, MenuDropdown, DatePicker, FileUploader, SearchBar, EmptyState. All accessible (WCAG AA), all documented in Storybook.</t>
  </si>
  <si>
    <t>All 25+ components accessible; Storybook documented; used by every other member; visual regression clean via Chromatic.</t>
  </si>
  <si>
    <t>Design tokens</t>
  </si>
  <si>
    <t>T-A1-003</t>
  </si>
  <si>
    <t>Admin Shell UI</t>
  </si>
  <si>
    <t>Admin Panel Layout Shell</t>
  </si>
  <si>
    <t>Build /admin layout: sidebar with modules (Overview, Vendors, Orders, Escrow, Logistics, Domains, Finance, Emails, Users, Settings, Support Tickets), top bar with global search + admin profile menu, main area with breadcrumbs. Route-protected — only admin roles can access. Distinct visual style from vendor panel (darker theme).</t>
  </si>
  <si>
    <t>Layout renders; RBAC blocks non-admins; distinct admin styling; mobile-adaptive.</t>
  </si>
  <si>
    <t>Design system, A4 admin auth</t>
  </si>
  <si>
    <t>T-A1-004</t>
  </si>
  <si>
    <t>Admin Overview Dashboard — Platform KPIs</t>
  </si>
  <si>
    <t>Admin home page showing platform-wide KPIs: total active vendors, total GMV today/this month, escrow balance, pending payouts, top-performing vendors, new signups today. Include charts of GMV over time, signups over time, subscription MRR.</t>
  </si>
  <si>
    <t>All KPIs render from admin analytics API; charts responsive; loads in &lt;2s.</t>
  </si>
  <si>
    <t>Admin analytics API</t>
  </si>
  <si>
    <t>T-A1-005</t>
  </si>
  <si>
    <t>Vendor Mgmt UI</t>
  </si>
  <si>
    <t>Vendors List Page + Filters</t>
  </si>
  <si>
    <t>/admin/vendors table: business name, owner, plan, GMV, signup date, last active, status, actions. Filters: plan, status (active/suspended), region, category, GMV range, signup range. Bulk actions (send notification, force-suspend, export list).</t>
  </si>
  <si>
    <t>Table renders 10k vendors smoothly (virtualized); filters combine; bulk actions confirmed before executing.</t>
  </si>
  <si>
    <t>Vendors API</t>
  </si>
  <si>
    <t>T-A1-006</t>
  </si>
  <si>
    <t>Vendor Detail Page — Full Profile View</t>
  </si>
  <si>
    <t>Vendor detail: profile info, subscription details, activity timeline, revenue chart, escrow held, VCC status, courier connections, campaigns, support tickets. Admin actions: suspend/reactivate, extend trial, adjust plan, refund on behalf, force-logout, view as vendor (impersonate).</t>
  </si>
  <si>
    <t>All sections load; impersonate opens vendor dashboard as them with audit log; suspend blocks vendor's next login.</t>
  </si>
  <si>
    <t>Vendors API, audit log system</t>
  </si>
  <si>
    <t>T-A1-007</t>
  </si>
  <si>
    <t>Vendor Support Tickets UI</t>
  </si>
  <si>
    <t>/admin/support: ticket queue (open/pending/closed), priority sorting, assign to admin, reply thread, close/escalate actions. Attach macros for common replies.</t>
  </si>
  <si>
    <t>Ticket state machine works; assignment works; macros populate correctly.</t>
  </si>
  <si>
    <t>Tickets backend</t>
  </si>
  <si>
    <t>T-A1-008</t>
  </si>
  <si>
    <t>Platform Analytics Dashboard</t>
  </si>
  <si>
    <t>/admin/analytics: platform-wide metrics — vendor growth (cohort retention), GMV trend, top categories, geographic split, subscription MRR + churn, top vendors by GMV, feature adoption (% using Meta Ads, WhatsApp AI, escrow). Date range filter.</t>
  </si>
  <si>
    <t>All charts render; date range updates all; export to PDF works.</t>
  </si>
  <si>
    <t>T-A1-009</t>
  </si>
  <si>
    <t>Vendor Mgmt Backend</t>
  </si>
  <si>
    <t>Vendors Admin API + RBAC</t>
  </si>
  <si>
    <t>Endpoints under /api/admin/vendors: list (with filter/sort/paginate), detail, suspend, reactivate, adjust plan, impersonate (returns short-lived JWT for vendor's account with audit log entry). All routes require admin role — checked via middleware.</t>
  </si>
  <si>
    <t>All endpoints work; RBAC enforced; impersonate audit-logged; performance &lt;300ms P95.</t>
  </si>
  <si>
    <t>V1 vendors table, admin roles</t>
  </si>
  <si>
    <t>T-A1-010</t>
  </si>
  <si>
    <t>Admin Backend</t>
  </si>
  <si>
    <t>Admin Users + Role-Based Access Control</t>
  </si>
  <si>
    <t>TOTAL</t>
  </si>
  <si>
    <t>Design `admin_users` (id, email, name, role, created_at) with roles: SuperAdmin (all), OpsAdmin (vendor mgmt + support), FinanceAdmin (escrow + finance), SupportAdmin (tickets only). Middleware enforces route access by role. SSO-ready.</t>
  </si>
  <si>
    <t>Roles enforced on every admin route; wrong-role users get 403; SSO integration hook ready.</t>
  </si>
  <si>
    <t>Supabase Auth</t>
  </si>
  <si>
    <t>T-A1-011</t>
  </si>
  <si>
    <t>Platform Analytics Aggregation API</t>
  </si>
  <si>
    <t>Endpoints under /api/admin/analytics/*: platform_kpis, gmv_trend, vendor_growth, top_vendors, feature_adoption, cohort_retention. Uses materialized views refreshed hourly for performance.</t>
  </si>
  <si>
    <t>All endpoints return correct data; queries &lt;500ms; views refresh on schedule.</t>
  </si>
  <si>
    <t>V2 analytics data model</t>
  </si>
  <si>
    <t>T-A1-012</t>
  </si>
  <si>
    <t>Audit Backend</t>
  </si>
  <si>
    <t>System-Wide Audit Log</t>
  </si>
  <si>
    <t>Append-only `audit_log` table (id, actor_id, actor_role, action, resource_type, resource_id, before_state, after_state, ip, timestamp). Every admin action + sensitive vendor action logged. Query API for admin panel viewing.</t>
  </si>
  <si>
    <t>Every sensitive action logged; log is tamper-evident (WORM); queryable by resource.</t>
  </si>
  <si>
    <t>DB schema</t>
  </si>
  <si>
    <t>T-A1-013</t>
  </si>
  <si>
    <t>Support Backend</t>
  </si>
  <si>
    <t>Support Tickets Backend</t>
  </si>
  <si>
    <t>Tables: `tickets` (id, vendor_id, subject, status, priority, assigned_to), `ticket_messages` (ticket_id, sender_type, sender_id, body, attachments). Endpoints for CRUD + assign + reply + close. Email notifications on updates via Resend.</t>
  </si>
  <si>
    <t>Ticket lifecycle works; emails fire on updates; attachments to Cloudinary.</t>
  </si>
  <si>
    <t>Resend, Cloudinary</t>
  </si>
  <si>
    <t>T-A1-014</t>
  </si>
  <si>
    <t>Notifications Backend</t>
  </si>
  <si>
    <t>In-App Notifications System</t>
  </si>
  <si>
    <t>Shared notifications backend used by V-side (vendor notifications) and A-side (admin notifications). `notifications` table (id, user_id, user_type, type, payload, read_at). Real-time delivery via Supabase Realtime.</t>
  </si>
  <si>
    <t>Notifications deliver in real time; read state syncs; used by all teams.</t>
  </si>
  <si>
    <t>Supabase Realtime</t>
  </si>
  <si>
    <t>T-A1-015</t>
  </si>
  <si>
    <t>A1 Test Suite — Design System + Admin + Vendor Mgmt</t>
  </si>
  <si>
    <t>Storybook visual regression for design system (Chromatic). Jest unit tests for RBAC middleware. Playwright: admin logs in → views vendor list → impersonates a vendor → returns to admin.</t>
  </si>
  <si>
    <t>Design system visual clean; RBAC tests pass; E2E green.</t>
  </si>
  <si>
    <t>All A1 tasks</t>
  </si>
  <si>
    <t>T-A2-001</t>
  </si>
  <si>
    <t>Escrow UI</t>
  </si>
  <si>
    <t>Escrow Admin Panel — Held Funds Overview</t>
  </si>
  <si>
    <t>/admin/escrow page: total held across platform, per-vendor breakdown table (vendor, held amount, oldest order date, pending release), search + filter. Click vendor → drill into their held orders.</t>
  </si>
  <si>
    <t>Totals accurate; drill-down works; performance stays fast at 10k held orders.</t>
  </si>
  <si>
    <t>STATUS BREAKDOWN BY SIDE</t>
  </si>
  <si>
    <t>Escrow ledger</t>
  </si>
  <si>
    <t>T-A2-002</t>
  </si>
  <si>
    <t>Escrow Detail + Manual Release/Refund UI</t>
  </si>
  <si>
    <t>Per-order escrow view: order details, courier tracking, hold reason, release/refund/hold-longer actions. Actions require 2-step confirmation with reason text. Audit log inline.</t>
  </si>
  <si>
    <t>Actions work; confirmation prevents accidents; audit log visible; each action reason required.</t>
  </si>
  <si>
    <t>Escrow ledger, orders</t>
  </si>
  <si>
    <t>T-A2-003</t>
  </si>
  <si>
    <t>Disputes Management UI</t>
  </si>
  <si>
    <t>/admin/disputes queue: customer complaints on orders, evidence (screenshots, chat logs), admin decision UI (release to vendor / refund customer / partial refund). SLA countdown per dispute.</t>
  </si>
  <si>
    <t>Queue prioritized by SLA; decisions logged; parties notified on resolution.</t>
  </si>
  <si>
    <t>Disputes backend</t>
  </si>
  <si>
    <t>T-A2-004</t>
  </si>
  <si>
    <t>Finance UI</t>
  </si>
  <si>
    <t>Financial Reports Dashboard</t>
  </si>
  <si>
    <t>/admin/finance: revenue reports (subscription MRR, transaction fees, domain sales, VCC volume), expense reports (LLM costs, Cloudinary, Vercel, Resend, gateway fees), P&amp;L over time. Export to Excel.</t>
  </si>
  <si>
    <t>Reports render accurately; date range works; Excel export includes all data.</t>
  </si>
  <si>
    <t>Finance backend</t>
  </si>
  <si>
    <t>T-A2-005</t>
  </si>
  <si>
    <t>Vendor Payout Management UI</t>
  </si>
  <si>
    <t>/admin/payouts page: pending vendor payouts (post-escrow-release), approve individually or bulk, batch-payout button. Payout status tracking (pending / processing / completed / failed).</t>
  </si>
  <si>
    <t>Bulk payouts work; failures visible with reason; retry action available.</t>
  </si>
  <si>
    <t>Payouts backend</t>
  </si>
  <si>
    <t>T-A2-006</t>
  </si>
  <si>
    <t>Subscription Plans Management (Admin)</t>
  </si>
  <si>
    <t>/admin/plans: CRUD interface for subscription plans (name, price, features JSON, limits, active toggle). Preview how plan looks on vendor's subscription page. Trigger migrations when plans change.</t>
  </si>
  <si>
    <t>Plan changes reflect immediately on vendor side; migrations don't break existing subscriptions.</t>
  </si>
  <si>
    <t>V1 subscriptions</t>
  </si>
  <si>
    <t>T-A2-007</t>
  </si>
  <si>
    <t>Escrow Backend</t>
  </si>
  <si>
    <t>Escrow Ledger (Financial Core)</t>
  </si>
  <si>
    <t>Append-only `escrow_ledger` (id, order_id, vendor_id, type: hold/release/refund/chargeback, amount, balance_after, ref_id, created_at). Balance derivation per vendor. Reconciliation job daily against gateway settlement reports.</t>
  </si>
  <si>
    <t>Ledger integrity holds mathematically; daily reconciliation matches gateway; discrepancies alert.</t>
  </si>
  <si>
    <t>Payment gateways (V4)</t>
  </si>
  <si>
    <t>T-A2-008</t>
  </si>
  <si>
    <t>Automated Escrow Release Logic</t>
  </si>
  <si>
    <t>Job that scans held orders. Release conditions: delivery confirmed via courier API + no dispute after 3 days. Handle edge cases: partial delivery, delayed delivery (extend hold), dispute (freeze until admin decides).</t>
  </si>
  <si>
    <t>Release fires reliably; no double-release; edge cases handled; audit log entry for every release.</t>
  </si>
  <si>
    <t>Courier status (A3), disputes</t>
  </si>
  <si>
    <t>T-A2-009</t>
  </si>
  <si>
    <t>Refund Processing Backend</t>
  </si>
  <si>
    <t>Endpoint POST /api/escrow/refund. If order still in escrow → release refund directly from held funds. If already released → charge vendor's wallet or trigger gateway reverse. Notify customer via WhatsApp + email.</t>
  </si>
  <si>
    <t>Refunds succeed in all 3 scenarios; customer receives money within gateway's SLA; notifications fire.</t>
  </si>
  <si>
    <t>Wallet, WhatsApp, Resend</t>
  </si>
  <si>
    <t>T-A2-010</t>
  </si>
  <si>
    <t>Disputes Backend</t>
  </si>
  <si>
    <t>Disputes Data Model + Workflow</t>
  </si>
  <si>
    <t>`disputes` table (id, order_id, opened_by, reason, evidence[], status, resolution, resolved_by, resolved_at). Workflow: opened → under_review → resolved_release / resolved_refund / resolved_partial. SLA: 48h to first response.</t>
  </si>
  <si>
    <t>State machine correct; SLA countdown accurate; evidence stored securely.</t>
  </si>
  <si>
    <t>Orders, Cloudinary</t>
  </si>
  <si>
    <t>T-A2-011</t>
  </si>
  <si>
    <t>Finance Backend</t>
  </si>
  <si>
    <t>Financial Reports Aggregation Backend</t>
  </si>
  <si>
    <t>Materialized views for revenue (by source: subscription, txn fee, domain, VCC), expenses (from external cost trackers), MRR, ARR, churn. Refreshed hourly. Endpoints for admin dashboard.</t>
  </si>
  <si>
    <t>Reports match manual calculations; endpoints fast; expense data pulled from provider APIs.</t>
  </si>
  <si>
    <t>V4 wallet ledger, A3 domains, V1 subscriptions</t>
  </si>
  <si>
    <t>T-A2-012</t>
  </si>
  <si>
    <t>Payouts Backend</t>
  </si>
  <si>
    <t>Vendor Payout Engine</t>
  </si>
  <si>
    <t>Payouts move released escrow → vendor's bank account (via bank API) or wallet. `payouts` table with state (pending / processing / completed / failed). Batch payout job runs daily. Retry failed with backoff.</t>
  </si>
  <si>
    <t>Payouts land in vendor accounts; failures retryable; ledger balanced.</t>
  </si>
  <si>
    <t>Bank API, escrow ledger</t>
  </si>
  <si>
    <t>T-A2-013</t>
  </si>
  <si>
    <t>Subscription Plans Admin API + Feature Flag Sync</t>
  </si>
  <si>
    <t>Endpoints for CRUD on plans. Feature flag system that maps plan_id → allowed features. Vendors on that plan see features gated accordingly on frontend.</t>
  </si>
  <si>
    <t>Feature flags respect plan; changes propagate to vendor within 5 min; downgrade blocks disabled features.</t>
  </si>
  <si>
    <t>T-A2-014</t>
  </si>
  <si>
    <t>A2 Test Suite — Escrow + Finance</t>
  </si>
  <si>
    <t>Very thorough because this is money. Unit tests for ledger math with 1000+ scenarios. E2E: full order → escrow hold → delivery → auto-release → payout. Chaos tests: what if gateway webhook lost, what if courier misreports.</t>
  </si>
  <si>
    <t>Ledger unit tests pass 100%; E2E green; chaos scenarios recovered gracefully.</t>
  </si>
  <si>
    <t>All A2 tasks</t>
  </si>
  <si>
    <t>T-A3-001</t>
  </si>
  <si>
    <t>Logistics UI</t>
  </si>
  <si>
    <t>Admin Logistics Overview</t>
  </si>
  <si>
    <t>/admin/logistics: platform-wide shipment stats (in transit, delayed, delivered today, RTO rate) by courier partner. Charts for delivery time per courier, failure reasons breakdown.</t>
  </si>
  <si>
    <t>Stats accurate; per-courier drill-down works; charts render.</t>
  </si>
  <si>
    <t>Shipments backend</t>
  </si>
  <si>
    <t>T-A3-002</t>
  </si>
  <si>
    <t>Courier Partners CRUD UI</t>
  </si>
  <si>
    <t>/admin/couriers: table of courier partners (name, API base URL, active, coverage regions, cost per delivery avg). Add/edit form. Toggle active. Health check status per partner.</t>
  </si>
  <si>
    <t>CRUD works; toggle active immediately affects vendor available options; health status live.</t>
  </si>
  <si>
    <t>Couriers backend</t>
  </si>
  <si>
    <t>T-A3-003</t>
  </si>
  <si>
    <t>Vendor's Courier Setup Aid (Admin Support)</t>
  </si>
  <si>
    <t>When a vendor needs help onboarding a courier, admin can view their courier config, test their API key, and if needed, remote-fix. Read-only for security.</t>
  </si>
  <si>
    <t>Admin can view config; test button works without saving; changes require vendor approval.</t>
  </si>
  <si>
    <t>Courier integration</t>
  </si>
  <si>
    <t>T-A3-004</t>
  </si>
  <si>
    <t>Domain UI</t>
  </si>
  <si>
    <t>Domain Reseller Operations Panel</t>
  </si>
  <si>
    <t>/admin/domains: platform-wide domain stats (total registered, upcoming renewals, expired, revenue from domains). Table of all vendor domains with search/filter. Actions: force-renew, transfer, retire.</t>
  </si>
  <si>
    <t>Stats and table load; actions require confirmation; audit-logged.</t>
  </si>
  <si>
    <t>Domains backend</t>
  </si>
  <si>
    <t>PRIORITY BREAKDOWN</t>
  </si>
  <si>
    <t>T-A3-005</t>
  </si>
  <si>
    <t>Domain Provider Management</t>
  </si>
  <si>
    <t>/admin/domain-providers: manage upstream registrar accounts (OpenSRS, Enom, Namecheap Reseller). API credentials (encrypted), balance monitoring, TLD pricing config, markup rules.</t>
  </si>
  <si>
    <t>Provider credentials hidden; balance visible; markup rules apply correctly on vendor search.</t>
  </si>
  <si>
    <t>Domain backend</t>
  </si>
  <si>
    <t>T-A3-006</t>
  </si>
  <si>
    <t>Logistics Backend</t>
  </si>
  <si>
    <t>Courier Integration Abstraction Layer</t>
  </si>
  <si>
    <t>Adapter pattern: `CourierProvider` interface with methods (createWaybill, getStatus, calculateRate). Concrete adapters for TCS, Leopards, Trax, Orio. Vendor selects which one via their API key. Handles auth, rate limits, retries.</t>
  </si>
  <si>
    <t>Count</t>
  </si>
  <si>
    <t>3 couriers integrated in sandbox; consistent interface; retries with exponential backoff.</t>
  </si>
  <si>
    <t>Courier partner accounts</t>
  </si>
  <si>
    <t>T-A3-007</t>
  </si>
  <si>
    <t>Courier API Key Hashing + Vault</t>
  </si>
  <si>
    <t>Vendor courier API keys encrypted at rest via AES-256-GCM (A4's key vault utility). Only decrypted in memory when making courier API calls. No plain-text in logs.</t>
  </si>
  <si>
    <t>Keys encrypted in DB; audit log for every decrypt; no plain-text leaks in logs (verified by log scanner).</t>
  </si>
  <si>
    <t>A4 key vault</t>
  </si>
  <si>
    <t>T-A3-008</t>
  </si>
  <si>
    <t>Waybill Auto-Generation Worker</t>
  </si>
  <si>
    <t>Worker triggered on `order_paid` event. Calls appropriate courier via adapter. Stores waybill number + PDF label URL on order. Fires WhatsApp update to customer. Retry with backoff on transient failure; alert admin on repeated failure.</t>
  </si>
  <si>
    <t>Waybill generated within 2 min of payment; PDF downloadable; failures alert admin.</t>
  </si>
  <si>
    <t>Courier abstraction, V4 orders</t>
  </si>
  <si>
    <t>T-A3-009</t>
  </si>
  <si>
    <t>Delivery Status Sync Job</t>
  </si>
  <si>
    <t>Poll each courier API every 15 min for status updates on active shipments. Update our `shipments` table. Emit `delivery_status_changed` event which triggers escrow release logic (A2) + customer WhatsApp update.</t>
  </si>
  <si>
    <t>Statuses accurate within 15 min lag; events fire correctly; escrow release chain works end-to-end.</t>
  </si>
  <si>
    <t>Courier abstraction, A2 escrow</t>
  </si>
  <si>
    <t>T-A3-010</t>
  </si>
  <si>
    <t>Domain Backend</t>
  </si>
  <si>
    <t>Domain Registrar Reseller API Integration</t>
  </si>
  <si>
    <t>Wholesale API integration with OpenSRS (or equivalent). Operations: check availability (bulk), register, transfer, renew, update contact, manage DNS, unlock/lock. Handles balance monitoring on our reseller account.</t>
  </si>
  <si>
    <t>Real domain registered in sandbox; DNS management works; balance monitored + alerts.</t>
  </si>
  <si>
    <t>Reseller account</t>
  </si>
  <si>
    <t>T-A3-011</t>
  </si>
  <si>
    <t>In-App Domain Search + Purchase Flow (Backend)</t>
  </si>
  <si>
    <t>Vendor-facing endpoint that hits registrar's availability API + adds our platform markup (config per TLD). Purchase endpoint: charges wallet → registers via registrar → creates `domains` row → triggers auto-DNS-mapping.</t>
  </si>
  <si>
    <t>Availability check &lt;500ms with markup; purchase creates domain in &lt;30s; failed registrations rollback wallet.</t>
  </si>
  <si>
    <t>Registrar API, V4 wallet, DNS mapping</t>
  </si>
  <si>
    <t>T-A3-012</t>
  </si>
  <si>
    <t>Auto-DNS Mapping to Vercel + SSL</t>
  </si>
  <si>
    <t>After domain purchase, programmatically set A record (or CNAME/ALIAS for apex) pointing to Vercel via Vercel Domains API. Trigger SSL provisioning. Verify DNS propagation before marking domain 'live'.</t>
  </si>
  <si>
    <t>Domain accessible with SSL within 30 min; verified state transition; failures show clear reason.</t>
  </si>
  <si>
    <t>Vercel API, registrar API</t>
  </si>
  <si>
    <t>T-A3-013</t>
  </si>
  <si>
    <t>Domain Renewal + Auto-Renewal Engine</t>
  </si>
  <si>
    <t>Cron: 30 days before expiry email vendor + attempt wallet auto-charge if auto-renew on. Repeat at 15 days, 3 days. Grace period 7 days after expiry — domain stays live but warned. After grace: registrar handles suspension.</t>
  </si>
  <si>
    <t>Reminders fire on schedule; auto-renew works when wallet has funds; grace period visible to vendor.</t>
  </si>
  <si>
    <t>V4 wallet, Resend</t>
  </si>
  <si>
    <t>T-A3-014</t>
  </si>
  <si>
    <t>STATUS DEFINITIONS</t>
  </si>
  <si>
    <t>A3 Test Suite — Logistics + Domains</t>
  </si>
  <si>
    <t>Integration tests for each courier adapter (mocked APIs). E2E: vendor buys domain → DNS auto-configured → their store accessible on that domain within 30 min.</t>
  </si>
  <si>
    <t>Adapter tests all green; E2E completes in &lt;30 min.</t>
  </si>
  <si>
    <t>Not yet started.</t>
  </si>
  <si>
    <t>All A3 tasks</t>
  </si>
  <si>
    <t>T-A4-001</t>
  </si>
  <si>
    <t>Email UI</t>
  </si>
  <si>
    <t>Email Template Management (Admin)</t>
  </si>
  <si>
    <t>/admin/emails: CRUD for platform-wide email templates. Preview with sample data. Version history. A/B test setup UI.</t>
  </si>
  <si>
    <t>Templates editable; preview accurate; version rollback works.</t>
  </si>
  <si>
    <t>Resend backend</t>
  </si>
  <si>
    <t>T-A4-002</t>
  </si>
  <si>
    <t>Email Analytics Dashboard</t>
  </si>
  <si>
    <t>Actively being worked on.</t>
  </si>
  <si>
    <t>/admin/email-analytics: platform-wide email metrics — delivery rate, bounce rate, spam complaint rate, open rate, click rate. By template + by vendor. Alerts if deliverability drops.</t>
  </si>
  <si>
    <t>Metrics render accurately from Resend webhooks; alerts trigger.</t>
  </si>
  <si>
    <t>Resend webhooks</t>
  </si>
  <si>
    <t>T-A4-003</t>
  </si>
  <si>
    <t>Security UI</t>
  </si>
  <si>
    <t>Security &amp; Audit Panel</t>
  </si>
  <si>
    <t>/admin/security: audit log viewer (searchable, filterable by actor/resource/action), active admin sessions, failed login attempts, RLS policy status per table.</t>
  </si>
  <si>
    <t>Log searchable across 1M+ entries; session revoke works.</t>
  </si>
  <si>
    <t>A1 audit log</t>
  </si>
  <si>
    <t>T-A4-004</t>
  </si>
  <si>
    <t>PR open, awaiting review.</t>
  </si>
  <si>
    <t>DevOps UI</t>
  </si>
  <si>
    <t>System Health &amp; Cost Dashboard</t>
  </si>
  <si>
    <t>/admin/system: real-time system health (Vercel status, Supabase health, Cloudinary usage, LLM API cost today, error rate). Cost projection to end of month. Alerts on abnormal spend.</t>
  </si>
  <si>
    <t>Metrics live; cost projections accurate within 5%; alerts fire.</t>
  </si>
  <si>
    <t>Monitoring backend</t>
  </si>
  <si>
    <t>T-A4-005</t>
  </si>
  <si>
    <t>AI UI</t>
  </si>
  <si>
    <t>AI Usage &amp; Cost Monitor</t>
  </si>
  <si>
    <t>/admin/ai-usage: track LLM + image gen usage per vendor + per feature (theme rebrand, ad copy, WhatsApp AI, product copy, image gen). Flag runaway usage. Suggest optimizations.</t>
  </si>
  <si>
    <t>Usage tracked accurately; flags fire; optimization suggestions shown.</t>
  </si>
  <si>
    <t>AI shared service</t>
  </si>
  <si>
    <t>Merged to main.</t>
  </si>
  <si>
    <t>T-A4-006</t>
  </si>
  <si>
    <t>Email Backend</t>
  </si>
  <si>
    <t>Resend Integration + Custom Domain Auto-Verification</t>
  </si>
  <si>
    <t>Wire Resend API. When a vendor adds a custom domain, programmatically add SPF, DKIM, DMARC records via A3's DNS mapping, verify with Resend, mark vendor as 'branded email ready'. Fall back to platform-branded sender if unverified.</t>
  </si>
  <si>
    <t>Auto-verification works within 30 min; emails send from vendor domains; deliverability &gt;95%.</t>
  </si>
  <si>
    <t>Resend account, A3 DNS mapping</t>
  </si>
  <si>
    <t>T-A4-007</t>
  </si>
  <si>
    <t>React Email Template System + Sending Pipeline</t>
  </si>
  <si>
    <t>React Email components for all transactional templates (order confirmation, shipping, delivery, refund, subscription reminder, password reset, invite, low-stock, abandoned cart 3-touch sequence). Per-vendor branding injected. Send pipeline with retry, rate limiting, suppression list respect.</t>
  </si>
  <si>
    <t>All 10+ templates render; branding correct; retries work; suppression respected.</t>
  </si>
  <si>
    <t>Cannot proceed — flag lead within 4 hours.</t>
  </si>
  <si>
    <t>Resend</t>
  </si>
  <si>
    <t>T-A4-008</t>
  </si>
  <si>
    <t>Abandoned Cart 3-Touch Sequence Worker</t>
  </si>
  <si>
    <t>Consumes `cart_abandoned` event. Sends touch 1 at +1h, touch 2 at +24h with 5% coupon, touch 3 at +72h with 10% coupon. Cancels sequence if customer completes purchase.</t>
  </si>
  <si>
    <t>Sequence fires correctly; cancellation on purchase works; conversion measurable.</t>
  </si>
  <si>
    <t>V4 cart events, email pipeline</t>
  </si>
  <si>
    <t>T-A4-009</t>
  </si>
  <si>
    <t>Security Backend</t>
  </si>
  <si>
    <t>RLS Policies Across All Tables</t>
  </si>
  <si>
    <t>Design and enforce Row Level Security policies on EVERY Supabase table so that: (a) vendor A cannot read/write vendor B's data; (b) customer A cannot read customer B's data on the same vendor; (c) admin can bypass with proper role. Write test suite that tries cross-tenant access on every table.</t>
  </si>
  <si>
    <t>Every table has RLS; penetration test finds no cross-tenant leaks; test suite catches regressions.</t>
  </si>
  <si>
    <t>All tables from all members</t>
  </si>
  <si>
    <t>T-A4-010</t>
  </si>
  <si>
    <t>Cryptographic Key Vault Utility Library</t>
  </si>
  <si>
    <t>Shared library for encrypting/decrypting sensitive fields: courier API keys (used by A3), payment gateway keys, VCC PANs, OAuth tokens. AES-256-GCM. Master key in Vercel env / KMS. Rotation supported.</t>
  </si>
  <si>
    <t>Library used by A3, V4, A2, A4; keys rotatable; every decrypt audit-logged.</t>
  </si>
  <si>
    <t>KMS setup</t>
  </si>
  <si>
    <t>T-A4-011</t>
  </si>
  <si>
    <t>Rate Limiting + Bot Protection</t>
  </si>
  <si>
    <t>Rate limits on every public endpoint (login, signup, storefront APIs). Cloudflare/Vercel-level for DDoS. reCAPTCHA v3 on signup/login when suspicious. IP-based rate limits + user-based.</t>
  </si>
  <si>
    <t>Malicious floods blocked at edge; legitimate users unaffected; captcha invisible when normal.</t>
  </si>
  <si>
    <t>Vercel edge</t>
  </si>
  <si>
    <t>T-A4-012</t>
  </si>
  <si>
    <t>Shared AI Service (WhatsApp AI + Meta Ads AI)</t>
  </si>
  <si>
    <t>Core AI service consumed by V-side. WhatsApp AI: multi-turn conversation with product catalog context; understands intent (price, availability, order); triggers order creation via V4; hands off to human when stuck. Meta Ads AI: generates ad copy variants + suggests targeting.</t>
  </si>
  <si>
    <t>Both services work end-to-end; average latency &lt;5s; token cost tracked per call; graceful fallback on LLM failure.</t>
  </si>
  <si>
    <t>LLM provider, V3 products, V4 orders</t>
  </si>
  <si>
    <t>T-A4-013</t>
  </si>
  <si>
    <t>WhatsApp Business Cloud API Integration</t>
  </si>
  <si>
    <t>Register vendor phone numbers via Meta's Cloud API. Send/receive messages (text, media, templates). Template approval workflow. Delivery tracking. Handles opt-in/opt-out.</t>
  </si>
  <si>
    <t>Real messages flow both ways; templates approved by Meta; delivery + read receipts tracked.</t>
  </si>
  <si>
    <t>Meta developer setup</t>
  </si>
  <si>
    <t>T-A4-014</t>
  </si>
  <si>
    <t>DevOps Backend</t>
  </si>
  <si>
    <t>Vercel CI/CD Pipeline + Env Management</t>
  </si>
  <si>
    <t>GitHub → Vercel: PR deploys to preview URL, main deploys to production. Env vars managed via Vercel + synced to dev machines via CLI. Rollback via 1-click. Deploy hooks for M-team notifications.</t>
  </si>
  <si>
    <t>PR previews work; prod deploys atomic (0 downtime); rollback tested; env vars secure.</t>
  </si>
  <si>
    <t>Vercel account, GitHub</t>
  </si>
  <si>
    <t>T-A4-015</t>
  </si>
  <si>
    <t>Monitoring, Logging &amp; Alerting Stack</t>
  </si>
  <si>
    <t>Sentry for JS/backend errors (per-project). Structured log drain to Axiom/BetterStack. Uptime monitoring every 60s. PagerDuty rotation for P0 alerts (escrow failures, payment failures, DB down).</t>
  </si>
  <si>
    <t>Errors caught; alerts within 5 min of P0; on-call rotation set.</t>
  </si>
  <si>
    <t>Monitoring providers</t>
  </si>
  <si>
    <t>T-A4-016</t>
  </si>
  <si>
    <t>Cost Tracking + Budget Alerts</t>
  </si>
  <si>
    <t>Daily job pulls costs from Vercel, Supabase, Cloudinary, Resend, LLM providers. Store in `cost_tracking` table. Alert if daily cost &gt; budget threshold. Feed A2's financial reports.</t>
  </si>
  <si>
    <t>Costs pulled daily; alerts fire; A2's reports match.</t>
  </si>
  <si>
    <t>Provider APIs</t>
  </si>
  <si>
    <t>T-A4-017</t>
  </si>
  <si>
    <t>A4 Test Suite — Security + AI + Infra</t>
  </si>
  <si>
    <t>Security: automated RLS tests (attempt cross-tenant every table). AI: mock conversation tests for WhatsApp AI. Infra: chaos tests (DB failover, LLM outage).</t>
  </si>
  <si>
    <t>RLS suite passes 100%; AI conversation quality manually reviewed and scored; chaos scenarios recovered.</t>
  </si>
  <si>
    <t>All A4 tasks</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</si>
</sst>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sz val="11.0"/>
      <color theme="1"/>
      <name val="Times New Roman"/>
    </font>
    <font>
      <color theme="1"/>
      <name val="Calibri"/>
      <scheme val="minor"/>
    </font>
    <font>
      <b/>
      <sz val="14.0"/>
      <color rgb="FFFFFFFF"/>
      <name val="Times New Roman"/>
    </font>
    <font>
      <b/>
      <sz val="18.0"/>
      <color theme="1"/>
      <name val="Times New Roman"/>
    </font>
    <font/>
    <font>
      <b/>
      <sz val="11.0"/>
      <color rgb="FFFFFFFF"/>
      <name val="Times New Roman"/>
    </font>
    <font>
      <sz val="10.0"/>
      <color theme="1"/>
      <name val="Times New Roman"/>
    </font>
    <font>
      <b/>
      <sz val="10.0"/>
      <color theme="1"/>
      <name val="Times New Roman"/>
    </font>
    <font>
      <i/>
      <sz val="10.0"/>
      <color rgb="FF777777"/>
      <name val="Times New Roman"/>
    </font>
    <font>
      <b/>
      <sz val="13.0"/>
      <color theme="1"/>
      <name val="Times New Roman"/>
    </font>
    <font>
      <b/>
      <sz val="10.0"/>
      <color theme="1"/>
      <name val="Arial"/>
    </font>
    <font>
      <sz val="10.0"/>
      <color theme="1"/>
      <name val="Arial"/>
    </font>
    <font>
      <b/>
      <sz val="22.0"/>
      <color theme="1"/>
      <name val="Times New Roman"/>
    </font>
    <font>
      <b/>
      <sz val="14.0"/>
      <color theme="1"/>
      <name val="Times New Roman"/>
    </font>
    <font>
      <b/>
      <sz val="11.0"/>
      <color theme="1"/>
      <name val="Times New Roman"/>
    </font>
    <font>
      <b/>
      <sz val="12.0"/>
      <color theme="1"/>
      <name val="Times New Roman"/>
    </font>
    <font>
      <sz val="11.0"/>
      <color theme="1"/>
      <name val="Calibri"/>
    </font>
  </fonts>
  <fills count="12">
    <fill>
      <patternFill patternType="none"/>
    </fill>
    <fill>
      <patternFill patternType="lightGray"/>
    </fill>
    <fill>
      <patternFill patternType="solid">
        <fgColor rgb="FF0B3D91"/>
        <bgColor rgb="FF0B3D91"/>
      </patternFill>
    </fill>
    <fill>
      <patternFill patternType="solid">
        <fgColor rgb="FFFFF3D6"/>
        <bgColor rgb="FFFFF3D6"/>
      </patternFill>
    </fill>
    <fill>
      <patternFill patternType="solid">
        <fgColor rgb="FFD6F0FF"/>
        <bgColor rgb="FFD6F0FF"/>
      </patternFill>
    </fill>
    <fill>
      <patternFill patternType="solid">
        <fgColor rgb="FFFFCCCC"/>
        <bgColor rgb="FFFFCCCC"/>
      </patternFill>
    </fill>
    <fill>
      <patternFill patternType="solid">
        <fgColor rgb="FFEEEEEE"/>
        <bgColor rgb="FFEEEEEE"/>
      </patternFill>
    </fill>
    <fill>
      <patternFill patternType="solid">
        <fgColor rgb="FFE4DFFF"/>
        <bgColor rgb="FFE4DFFF"/>
      </patternFill>
    </fill>
    <fill>
      <patternFill patternType="solid">
        <fgColor rgb="FFF5F5F5"/>
        <bgColor rgb="FFF5F5F5"/>
      </patternFill>
    </fill>
    <fill>
      <patternFill patternType="solid">
        <fgColor rgb="FFFFE7B3"/>
        <bgColor rgb="FFFFE7B3"/>
      </patternFill>
    </fill>
    <fill>
      <patternFill patternType="solid">
        <fgColor rgb="FFD8F5D6"/>
        <bgColor rgb="FFD8F5D6"/>
      </patternFill>
    </fill>
    <fill>
      <patternFill patternType="solid">
        <fgColor rgb="FFFFD6E6"/>
        <bgColor rgb="FFFFD6E6"/>
      </patternFill>
    </fill>
  </fills>
  <borders count="9">
    <border/>
    <border>
      <left/>
      <top/>
      <bottom/>
    </border>
    <border>
      <top/>
      <bottom/>
    </border>
    <border>
      <right/>
      <top/>
      <bottom/>
    </border>
    <border>
      <left style="thin">
        <color rgb="FFB0B0B0"/>
      </left>
      <right style="thin">
        <color rgb="FFB0B0B0"/>
      </right>
      <top style="thin">
        <color rgb="FFB0B0B0"/>
      </top>
      <bottom style="thin">
        <color rgb="FFB0B0B0"/>
      </bottom>
    </border>
    <border>
      <left style="thin">
        <color rgb="FFB0B0B0"/>
      </left>
      <right style="thin">
        <color rgb="FFB0B0B0"/>
      </right>
      <bottom style="thin">
        <color rgb="FFB0B0B0"/>
      </bottom>
    </border>
    <border>
      <left style="thin">
        <color rgb="FF2D3748"/>
      </left>
      <right style="thin">
        <color rgb="FF2D3748"/>
      </right>
      <top style="thin">
        <color rgb="FF2D3748"/>
      </top>
      <bottom style="thin">
        <color rgb="FF2D3748"/>
      </bottom>
    </border>
    <border>
      <left style="thin">
        <color rgb="FF2D3748"/>
      </left>
      <top style="thin">
        <color rgb="FF2D3748"/>
      </top>
      <bottom style="thin">
        <color rgb="FF2D3748"/>
      </bottom>
    </border>
    <border>
      <top style="thin">
        <color rgb="FF2D3748"/>
      </top>
      <bottom style="thin">
        <color rgb="FF2D3748"/>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vertical="center"/>
    </xf>
    <xf borderId="0" fillId="2" fontId="2" numFmtId="0" xfId="0" applyAlignment="1" applyFill="1" applyFont="1">
      <alignment readingOrder="0"/>
    </xf>
    <xf borderId="1" fillId="2" fontId="3" numFmtId="0" xfId="0" applyAlignment="1" applyBorder="1" applyFont="1">
      <alignment horizontal="center" shrinkToFit="0" vertical="center" wrapText="1"/>
    </xf>
    <xf borderId="0" fillId="0" fontId="4" numFmtId="0" xfId="0" applyAlignment="1" applyFont="1">
      <alignment vertical="center"/>
    </xf>
    <xf borderId="2" fillId="2" fontId="3" numFmtId="0" xfId="0" applyAlignment="1" applyBorder="1" applyFont="1">
      <alignment horizontal="center" shrinkToFit="0" vertical="center" wrapText="1"/>
    </xf>
    <xf borderId="2" fillId="0" fontId="5" numFmtId="0" xfId="0" applyBorder="1" applyFont="1"/>
    <xf borderId="0" fillId="0" fontId="1" numFmtId="0" xfId="0" applyFont="1"/>
    <xf borderId="3" fillId="0" fontId="5" numFmtId="0" xfId="0" applyBorder="1" applyFont="1"/>
    <xf borderId="4" fillId="2" fontId="6" numFmtId="0" xfId="0" applyAlignment="1" applyBorder="1" applyFont="1">
      <alignment horizontal="center" shrinkToFit="0" vertical="center" wrapText="1"/>
    </xf>
    <xf borderId="5" fillId="2" fontId="6" numFmtId="0" xfId="0" applyAlignment="1" applyBorder="1" applyFont="1">
      <alignment horizontal="center" shrinkToFit="0" vertical="center" wrapText="1"/>
    </xf>
    <xf borderId="4" fillId="0" fontId="7" numFmtId="0" xfId="0" applyAlignment="1" applyBorder="1" applyFont="1">
      <alignment horizontal="left" shrinkToFit="0" vertical="top" wrapText="1"/>
    </xf>
    <xf borderId="0" fillId="0" fontId="7" numFmtId="0" xfId="0" applyAlignment="1" applyFont="1">
      <alignment vertical="center"/>
    </xf>
    <xf borderId="4" fillId="3" fontId="8" numFmtId="0" xfId="0" applyAlignment="1" applyBorder="1" applyFill="1" applyFont="1">
      <alignment horizontal="left" shrinkToFit="0" vertical="top" wrapText="1"/>
    </xf>
    <xf borderId="4" fillId="4" fontId="7" numFmtId="0" xfId="0" applyAlignment="1" applyBorder="1" applyFill="1" applyFont="1">
      <alignment horizontal="center" shrinkToFit="0" vertical="center" wrapText="1"/>
    </xf>
    <xf borderId="4" fillId="5" fontId="8" numFmtId="0" xfId="0" applyAlignment="1" applyBorder="1" applyFill="1" applyFont="1">
      <alignment horizontal="center" shrinkToFit="0" vertical="center" wrapText="1"/>
    </xf>
    <xf borderId="4" fillId="0" fontId="7" numFmtId="0" xfId="0" applyAlignment="1" applyBorder="1" applyFont="1">
      <alignment horizontal="center" shrinkToFit="0" vertical="top" wrapText="1"/>
    </xf>
    <xf borderId="4" fillId="6" fontId="7" numFmtId="0" xfId="0" applyAlignment="1" applyBorder="1" applyFill="1" applyFont="1">
      <alignment horizontal="center" readingOrder="0" shrinkToFit="0" vertical="center" wrapText="1"/>
    </xf>
    <xf borderId="4" fillId="7" fontId="8" numFmtId="0" xfId="0" applyAlignment="1" applyBorder="1" applyFill="1" applyFont="1">
      <alignment horizontal="left" shrinkToFit="0" vertical="top" wrapText="1"/>
    </xf>
    <xf borderId="4" fillId="8" fontId="9" numFmtId="0" xfId="0" applyAlignment="1" applyBorder="1" applyFill="1" applyFont="1">
      <alignment horizontal="left" shrinkToFit="0" vertical="top" wrapText="1"/>
    </xf>
    <xf borderId="0" fillId="0" fontId="10" numFmtId="0" xfId="0" applyAlignment="1" applyFont="1">
      <alignment vertical="center"/>
    </xf>
    <xf borderId="0" fillId="0" fontId="11" numFmtId="0" xfId="0" applyFont="1"/>
    <xf borderId="0" fillId="0" fontId="12" numFmtId="0" xfId="0" applyAlignment="1" applyFont="1">
      <alignment horizontal="left" shrinkToFit="0" vertical="top" wrapText="1"/>
    </xf>
    <xf borderId="6" fillId="0" fontId="8" numFmtId="0" xfId="0" applyAlignment="1" applyBorder="1" applyFont="1">
      <alignment horizontal="center" vertical="center"/>
    </xf>
    <xf borderId="4" fillId="9" fontId="8" numFmtId="0" xfId="0" applyAlignment="1" applyBorder="1" applyFill="1" applyFont="1">
      <alignment horizontal="center" shrinkToFit="0" vertical="center" wrapText="1"/>
    </xf>
    <xf borderId="4" fillId="10" fontId="7" numFmtId="0" xfId="0" applyAlignment="1" applyBorder="1" applyFill="1" applyFont="1">
      <alignment horizontal="center" shrinkToFit="0" vertical="center" wrapText="1"/>
    </xf>
    <xf borderId="6" fillId="0" fontId="13" numFmtId="0" xfId="0" applyAlignment="1" applyBorder="1" applyFont="1">
      <alignment horizontal="center" vertical="center"/>
    </xf>
    <xf borderId="4" fillId="11" fontId="7" numFmtId="0" xfId="0" applyAlignment="1" applyBorder="1" applyFill="1" applyFont="1">
      <alignment horizontal="center" shrinkToFit="0" vertical="center" wrapText="1"/>
    </xf>
    <xf borderId="6" fillId="0" fontId="7" numFmtId="0" xfId="0" applyAlignment="1" applyBorder="1" applyFont="1">
      <alignment vertical="center"/>
    </xf>
    <xf borderId="7" fillId="0" fontId="14" numFmtId="0" xfId="0" applyAlignment="1" applyBorder="1" applyFont="1">
      <alignment horizontal="center" vertical="center"/>
    </xf>
    <xf borderId="8" fillId="0" fontId="5" numFmtId="0" xfId="0" applyBorder="1" applyFont="1"/>
    <xf borderId="6" fillId="0" fontId="7" numFmtId="0" xfId="0" applyAlignment="1" applyBorder="1" applyFont="1">
      <alignment horizontal="center"/>
    </xf>
    <xf borderId="6" fillId="0" fontId="14" numFmtId="0" xfId="0" applyAlignment="1" applyBorder="1" applyFont="1">
      <alignment horizontal="center" vertical="center"/>
    </xf>
    <xf borderId="4" fillId="0" fontId="8" numFmtId="0" xfId="0" applyAlignment="1" applyBorder="1" applyFont="1">
      <alignment horizontal="left" shrinkToFit="0" vertical="top" wrapText="1"/>
    </xf>
    <xf borderId="6" fillId="0" fontId="15" numFmtId="0" xfId="0" applyAlignment="1" applyBorder="1" applyFont="1">
      <alignment horizontal="center" vertical="center"/>
    </xf>
    <xf borderId="4" fillId="6" fontId="7" numFmtId="0" xfId="0" applyAlignment="1" applyBorder="1" applyFont="1">
      <alignment horizontal="center" shrinkToFit="0" vertical="center" wrapText="1"/>
    </xf>
    <xf borderId="4" fillId="9" fontId="7" numFmtId="0" xfId="0" applyAlignment="1" applyBorder="1" applyFont="1">
      <alignment horizontal="center" shrinkToFit="0" vertical="center" wrapText="1"/>
    </xf>
    <xf borderId="6" fillId="0" fontId="16" numFmtId="0" xfId="0" applyAlignment="1" applyBorder="1" applyFont="1">
      <alignment horizontal="center" vertical="center"/>
    </xf>
    <xf borderId="7" fillId="0" fontId="7" numFmtId="0" xfId="0" applyAlignment="1" applyBorder="1" applyFont="1">
      <alignment vertical="center"/>
    </xf>
    <xf borderId="0" fillId="0" fontId="17" numFmtId="0" xfId="0" applyAlignment="1" applyFont="1">
      <alignment horizontal="center"/>
    </xf>
  </cellXfs>
  <cellStyles count="1">
    <cellStyle xfId="0" name="Normal" builtinId="0"/>
  </cellStyles>
  <dxfs count="5">
    <dxf>
      <font>
        <b/>
        <color rgb="FFFFFFFF"/>
      </font>
      <fill>
        <patternFill patternType="solid">
          <fgColor rgb="FF4A5568"/>
          <bgColor rgb="FF4A5568"/>
        </patternFill>
      </fill>
      <border/>
    </dxf>
    <dxf>
      <font>
        <b/>
        <color rgb="FFFFFFFF"/>
      </font>
      <fill>
        <patternFill patternType="solid">
          <fgColor rgb="FF3182CE"/>
          <bgColor rgb="FF3182CE"/>
        </patternFill>
      </fill>
      <border/>
    </dxf>
    <dxf>
      <font>
        <b/>
        <color rgb="FF1A202C"/>
      </font>
      <fill>
        <patternFill patternType="solid">
          <fgColor rgb="FFD69E2E"/>
          <bgColor rgb="FFD69E2E"/>
        </patternFill>
      </fill>
      <border/>
    </dxf>
    <dxf>
      <font>
        <b/>
        <color rgb="FFFFFFFF"/>
      </font>
      <fill>
        <patternFill patternType="solid">
          <fgColor rgb="FF38A169"/>
          <bgColor rgb="FF38A169"/>
        </patternFill>
      </fill>
      <border/>
    </dxf>
    <dxf>
      <font>
        <b/>
        <color rgb="FFFFFFFF"/>
      </font>
      <fill>
        <patternFill patternType="solid">
          <fgColor rgb="FFE53E3E"/>
          <bgColor rgb="FFE53E3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182CE"/>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4.0"/>
    <col customWidth="1" min="2" max="2" width="28.0"/>
    <col customWidth="1" min="3" max="8" width="18.0"/>
    <col customWidth="1" min="9" max="26" width="8.71"/>
  </cols>
  <sheetData>
    <row r="1" ht="36.0" customHeight="1">
      <c r="A1" s="1"/>
      <c r="B1" s="4" t="s">
        <v>3</v>
      </c>
      <c r="I1" s="7"/>
      <c r="J1" s="7"/>
      <c r="K1" s="7"/>
      <c r="L1" s="7"/>
      <c r="M1" s="7"/>
      <c r="N1" s="7"/>
      <c r="O1" s="7"/>
      <c r="P1" s="7"/>
      <c r="Q1" s="7"/>
      <c r="R1" s="7"/>
      <c r="S1" s="7"/>
      <c r="T1" s="7"/>
      <c r="U1" s="7"/>
      <c r="V1" s="7"/>
      <c r="W1" s="7"/>
      <c r="X1" s="7"/>
      <c r="Y1" s="7"/>
      <c r="Z1" s="7"/>
    </row>
    <row r="2" ht="19.5" customHeight="1">
      <c r="A2" s="1"/>
      <c r="B2" s="12" t="s">
        <v>20</v>
      </c>
      <c r="I2" s="7"/>
      <c r="J2" s="7"/>
      <c r="K2" s="7"/>
      <c r="L2" s="7"/>
      <c r="M2" s="7"/>
      <c r="N2" s="7"/>
      <c r="O2" s="7"/>
      <c r="P2" s="7"/>
      <c r="Q2" s="7"/>
      <c r="R2" s="7"/>
      <c r="S2" s="7"/>
      <c r="T2" s="7"/>
      <c r="U2" s="7"/>
      <c r="V2" s="7"/>
      <c r="W2" s="7"/>
      <c r="X2" s="7"/>
      <c r="Y2" s="7"/>
      <c r="Z2" s="7"/>
    </row>
    <row r="3" ht="13.5" customHeight="1">
      <c r="A3" s="1"/>
      <c r="B3" s="1"/>
      <c r="C3" s="1"/>
      <c r="D3" s="1"/>
      <c r="E3" s="1"/>
      <c r="F3" s="1"/>
      <c r="G3" s="1"/>
      <c r="H3" s="1"/>
      <c r="I3" s="7"/>
      <c r="J3" s="7"/>
      <c r="K3" s="7"/>
      <c r="L3" s="7"/>
      <c r="M3" s="7"/>
      <c r="N3" s="7"/>
      <c r="O3" s="7"/>
      <c r="P3" s="7"/>
      <c r="Q3" s="7"/>
      <c r="R3" s="7"/>
      <c r="S3" s="7"/>
      <c r="T3" s="7"/>
      <c r="U3" s="7"/>
      <c r="V3" s="7"/>
      <c r="W3" s="7"/>
      <c r="X3" s="7"/>
      <c r="Y3" s="7"/>
      <c r="Z3" s="7"/>
    </row>
    <row r="4" ht="27.75" customHeight="1">
      <c r="A4" s="1"/>
      <c r="B4" s="20" t="s">
        <v>73</v>
      </c>
      <c r="I4" s="7"/>
      <c r="J4" s="7"/>
      <c r="K4" s="7"/>
      <c r="L4" s="7"/>
      <c r="M4" s="7"/>
      <c r="N4" s="7"/>
      <c r="O4" s="7"/>
      <c r="P4" s="7"/>
      <c r="Q4" s="7"/>
      <c r="R4" s="7"/>
      <c r="S4" s="7"/>
      <c r="T4" s="7"/>
      <c r="U4" s="7"/>
      <c r="V4" s="7"/>
      <c r="W4" s="7"/>
      <c r="X4" s="7"/>
      <c r="Y4" s="7"/>
      <c r="Z4" s="7"/>
    </row>
    <row r="5" ht="24.0" customHeight="1">
      <c r="A5" s="1"/>
      <c r="B5" s="23" t="s">
        <v>96</v>
      </c>
      <c r="C5" s="23" t="s">
        <v>53</v>
      </c>
      <c r="D5" s="23" t="s">
        <v>103</v>
      </c>
      <c r="E5" s="23" t="s">
        <v>105</v>
      </c>
      <c r="F5" s="23" t="s">
        <v>107</v>
      </c>
      <c r="G5" s="1"/>
      <c r="H5" s="1"/>
      <c r="I5" s="7"/>
      <c r="J5" s="7"/>
      <c r="K5" s="7"/>
      <c r="L5" s="7"/>
      <c r="M5" s="7"/>
      <c r="N5" s="7"/>
      <c r="O5" s="7"/>
      <c r="P5" s="7"/>
      <c r="Q5" s="7"/>
      <c r="R5" s="7"/>
      <c r="S5" s="7"/>
      <c r="T5" s="7"/>
      <c r="U5" s="7"/>
      <c r="V5" s="7"/>
      <c r="W5" s="7"/>
      <c r="X5" s="7"/>
      <c r="Y5" s="7"/>
      <c r="Z5" s="7"/>
    </row>
    <row r="6" ht="39.75" customHeight="1">
      <c r="A6" s="1"/>
      <c r="B6" s="26">
        <f>COUNTIF('Task Tracker'!$L$3:$L$137,"To Do")</f>
        <v>31</v>
      </c>
      <c r="C6" s="26">
        <f>COUNTIF('Task Tracker'!$L$3:$L$137,"In Progress")</f>
        <v>52</v>
      </c>
      <c r="D6" s="26">
        <f>COUNTIF('Task Tracker'!$L$3:$L$137,"In Review")</f>
        <v>52</v>
      </c>
      <c r="E6" s="26">
        <f>COUNTIF('Task Tracker'!$L$3:$L$137,"Done")</f>
        <v>0</v>
      </c>
      <c r="F6" s="26">
        <f>COUNTIF('Task Tracker'!$L$3:$L$137,"Blocked")</f>
        <v>0</v>
      </c>
      <c r="G6" s="1"/>
      <c r="H6" s="1"/>
      <c r="I6" s="7"/>
      <c r="J6" s="7"/>
      <c r="K6" s="7"/>
      <c r="L6" s="7"/>
      <c r="M6" s="7"/>
      <c r="N6" s="7"/>
      <c r="O6" s="7"/>
      <c r="P6" s="7"/>
      <c r="Q6" s="7"/>
      <c r="R6" s="7"/>
      <c r="S6" s="7"/>
      <c r="T6" s="7"/>
      <c r="U6" s="7"/>
      <c r="V6" s="7"/>
      <c r="W6" s="7"/>
      <c r="X6" s="7"/>
      <c r="Y6" s="7"/>
      <c r="Z6" s="7"/>
    </row>
    <row r="7" ht="13.5" customHeight="1">
      <c r="A7" s="1"/>
      <c r="B7" s="1"/>
      <c r="C7" s="1"/>
      <c r="D7" s="1"/>
      <c r="E7" s="1"/>
      <c r="F7" s="1"/>
      <c r="G7" s="1"/>
      <c r="H7" s="1"/>
      <c r="I7" s="7"/>
      <c r="J7" s="7"/>
      <c r="K7" s="7"/>
      <c r="L7" s="7"/>
      <c r="M7" s="7"/>
      <c r="N7" s="7"/>
      <c r="O7" s="7"/>
      <c r="P7" s="7"/>
      <c r="Q7" s="7"/>
      <c r="R7" s="7"/>
      <c r="S7" s="7"/>
      <c r="T7" s="7"/>
      <c r="U7" s="7"/>
      <c r="V7" s="7"/>
      <c r="W7" s="7"/>
      <c r="X7" s="7"/>
      <c r="Y7" s="7"/>
      <c r="Z7" s="7"/>
    </row>
    <row r="8" ht="27.75" customHeight="1">
      <c r="A8" s="1"/>
      <c r="B8" s="20" t="s">
        <v>171</v>
      </c>
      <c r="E8" s="20" t="s">
        <v>173</v>
      </c>
      <c r="I8" s="7"/>
      <c r="J8" s="7"/>
      <c r="K8" s="7"/>
      <c r="L8" s="7"/>
      <c r="M8" s="7"/>
      <c r="N8" s="7"/>
      <c r="O8" s="7"/>
      <c r="P8" s="7"/>
      <c r="Q8" s="7"/>
      <c r="R8" s="7"/>
      <c r="S8" s="7"/>
      <c r="T8" s="7"/>
      <c r="U8" s="7"/>
      <c r="V8" s="7"/>
      <c r="W8" s="7"/>
      <c r="X8" s="7"/>
      <c r="Y8" s="7"/>
      <c r="Z8" s="7"/>
    </row>
    <row r="9" ht="13.5" customHeight="1">
      <c r="A9" s="1"/>
      <c r="B9" s="28" t="s">
        <v>182</v>
      </c>
      <c r="C9" s="29">
        <f>COUNTIF('Task Tracker'!$C$3:$C$137,"Vendor")</f>
        <v>75</v>
      </c>
      <c r="D9" s="30"/>
      <c r="E9" s="31" t="s">
        <v>14</v>
      </c>
      <c r="F9" s="32">
        <f>COUNTIF('Task Tracker'!$B$3:$B$137,"V1")</f>
        <v>16</v>
      </c>
      <c r="G9" s="1"/>
      <c r="H9" s="1"/>
      <c r="I9" s="7"/>
      <c r="J9" s="7"/>
      <c r="K9" s="7"/>
      <c r="L9" s="7"/>
      <c r="M9" s="7"/>
      <c r="N9" s="7"/>
      <c r="O9" s="7"/>
      <c r="P9" s="7"/>
      <c r="Q9" s="7"/>
      <c r="R9" s="7"/>
      <c r="S9" s="7"/>
      <c r="T9" s="7"/>
      <c r="U9" s="7"/>
      <c r="V9" s="7"/>
      <c r="W9" s="7"/>
      <c r="X9" s="7"/>
      <c r="Y9" s="7"/>
      <c r="Z9" s="7"/>
    </row>
    <row r="10" ht="13.5" customHeight="1">
      <c r="A10" s="1"/>
      <c r="B10" s="28" t="s">
        <v>210</v>
      </c>
      <c r="C10" s="29">
        <f>COUNTIF('Task Tracker'!$C$3:$C$137,"Admin")</f>
        <v>60</v>
      </c>
      <c r="D10" s="30"/>
      <c r="E10" s="31" t="s">
        <v>31</v>
      </c>
      <c r="F10" s="32">
        <f>COUNTIF('Task Tracker'!$B$3:$B$137,"V2")</f>
        <v>19</v>
      </c>
      <c r="G10" s="1"/>
      <c r="H10" s="1"/>
      <c r="I10" s="7"/>
      <c r="J10" s="7"/>
      <c r="K10" s="7"/>
      <c r="L10" s="7"/>
      <c r="M10" s="7"/>
      <c r="N10" s="7"/>
      <c r="O10" s="7"/>
      <c r="P10" s="7"/>
      <c r="Q10" s="7"/>
      <c r="R10" s="7"/>
      <c r="S10" s="7"/>
      <c r="T10" s="7"/>
      <c r="U10" s="7"/>
      <c r="V10" s="7"/>
      <c r="W10" s="7"/>
      <c r="X10" s="7"/>
      <c r="Y10" s="7"/>
      <c r="Z10" s="7"/>
    </row>
    <row r="11" ht="13.5" customHeight="1">
      <c r="A11" s="1"/>
      <c r="B11" s="28" t="s">
        <v>233</v>
      </c>
      <c r="C11" s="29">
        <f>COUNTA('Task Tracker'!$B$3:$B$137)</f>
        <v>135</v>
      </c>
      <c r="D11" s="30"/>
      <c r="E11" s="31" t="s">
        <v>43</v>
      </c>
      <c r="F11" s="32">
        <f>COUNTIF('Task Tracker'!$B$3:$B$137,"V3")</f>
        <v>17</v>
      </c>
      <c r="G11" s="1"/>
      <c r="H11" s="1"/>
      <c r="I11" s="7"/>
      <c r="J11" s="7"/>
      <c r="K11" s="7"/>
      <c r="L11" s="7"/>
      <c r="M11" s="7"/>
      <c r="N11" s="7"/>
      <c r="O11" s="7"/>
      <c r="P11" s="7"/>
      <c r="Q11" s="7"/>
      <c r="R11" s="7"/>
      <c r="S11" s="7"/>
      <c r="T11" s="7"/>
      <c r="U11" s="7"/>
      <c r="V11" s="7"/>
      <c r="W11" s="7"/>
      <c r="X11" s="7"/>
      <c r="Y11" s="7"/>
      <c r="Z11" s="7"/>
    </row>
    <row r="12" ht="13.5" customHeight="1">
      <c r="A12" s="1"/>
      <c r="B12" s="1"/>
      <c r="C12" s="1"/>
      <c r="D12" s="1"/>
      <c r="E12" s="31" t="s">
        <v>50</v>
      </c>
      <c r="F12" s="32">
        <f>COUNTIF('Task Tracker'!$B$3:$B$137,"V4")</f>
        <v>23</v>
      </c>
      <c r="G12" s="1"/>
      <c r="H12" s="1"/>
      <c r="I12" s="7"/>
      <c r="J12" s="7"/>
      <c r="K12" s="7"/>
      <c r="L12" s="7"/>
      <c r="M12" s="7"/>
      <c r="N12" s="7"/>
      <c r="O12" s="7"/>
      <c r="P12" s="7"/>
      <c r="Q12" s="7"/>
      <c r="R12" s="7"/>
      <c r="S12" s="7"/>
      <c r="T12" s="7"/>
      <c r="U12" s="7"/>
      <c r="V12" s="7"/>
      <c r="W12" s="7"/>
      <c r="X12" s="7"/>
      <c r="Y12" s="7"/>
      <c r="Z12" s="7"/>
    </row>
    <row r="13" ht="13.5" customHeight="1">
      <c r="A13" s="1"/>
      <c r="B13" s="1"/>
      <c r="C13" s="1"/>
      <c r="D13" s="1"/>
      <c r="E13" s="31" t="s">
        <v>56</v>
      </c>
      <c r="F13" s="32">
        <f>COUNTIF('Task Tracker'!$B$3:$B$137,"A1")</f>
        <v>15</v>
      </c>
      <c r="G13" s="1"/>
      <c r="H13" s="1"/>
      <c r="I13" s="7"/>
      <c r="J13" s="7"/>
      <c r="K13" s="7"/>
      <c r="L13" s="7"/>
      <c r="M13" s="7"/>
      <c r="N13" s="7"/>
      <c r="O13" s="7"/>
      <c r="P13" s="7"/>
      <c r="Q13" s="7"/>
      <c r="R13" s="7"/>
      <c r="S13" s="7"/>
      <c r="T13" s="7"/>
      <c r="U13" s="7"/>
      <c r="V13" s="7"/>
      <c r="W13" s="7"/>
      <c r="X13" s="7"/>
      <c r="Y13" s="7"/>
      <c r="Z13" s="7"/>
    </row>
    <row r="14" ht="13.5" customHeight="1">
      <c r="A14" s="1"/>
      <c r="B14" s="1"/>
      <c r="C14" s="1"/>
      <c r="D14" s="1"/>
      <c r="E14" s="31" t="s">
        <v>65</v>
      </c>
      <c r="F14" s="32">
        <f>COUNTIF('Task Tracker'!$B$3:$B$137,"A2")</f>
        <v>14</v>
      </c>
      <c r="G14" s="1"/>
      <c r="H14" s="1"/>
      <c r="I14" s="7"/>
      <c r="J14" s="7"/>
      <c r="K14" s="7"/>
      <c r="L14" s="7"/>
      <c r="M14" s="7"/>
      <c r="N14" s="7"/>
      <c r="O14" s="7"/>
      <c r="P14" s="7"/>
      <c r="Q14" s="7"/>
      <c r="R14" s="7"/>
      <c r="S14" s="7"/>
      <c r="T14" s="7"/>
      <c r="U14" s="7"/>
      <c r="V14" s="7"/>
      <c r="W14" s="7"/>
      <c r="X14" s="7"/>
      <c r="Y14" s="7"/>
      <c r="Z14" s="7"/>
    </row>
    <row r="15" ht="13.5" customHeight="1">
      <c r="A15" s="1"/>
      <c r="B15" s="1"/>
      <c r="C15" s="1"/>
      <c r="D15" s="1"/>
      <c r="E15" s="31" t="s">
        <v>72</v>
      </c>
      <c r="F15" s="32">
        <f>COUNTIF('Task Tracker'!$B$3:$B$137,"A3")</f>
        <v>14</v>
      </c>
      <c r="G15" s="1"/>
      <c r="H15" s="1"/>
      <c r="I15" s="7"/>
      <c r="J15" s="7"/>
      <c r="K15" s="7"/>
      <c r="L15" s="7"/>
      <c r="M15" s="7"/>
      <c r="N15" s="7"/>
      <c r="O15" s="7"/>
      <c r="P15" s="7"/>
      <c r="Q15" s="7"/>
      <c r="R15" s="7"/>
      <c r="S15" s="7"/>
      <c r="T15" s="7"/>
      <c r="U15" s="7"/>
      <c r="V15" s="7"/>
      <c r="W15" s="7"/>
      <c r="X15" s="7"/>
      <c r="Y15" s="7"/>
      <c r="Z15" s="7"/>
    </row>
    <row r="16" ht="13.5" customHeight="1">
      <c r="A16" s="1"/>
      <c r="B16" s="1"/>
      <c r="C16" s="1"/>
      <c r="D16" s="1"/>
      <c r="E16" s="31" t="s">
        <v>80</v>
      </c>
      <c r="F16" s="32">
        <f>COUNTIF('Task Tracker'!$B$3:$B$137,"A4")</f>
        <v>17</v>
      </c>
      <c r="G16" s="1"/>
      <c r="H16" s="1"/>
      <c r="I16" s="7"/>
      <c r="J16" s="7"/>
      <c r="K16" s="7"/>
      <c r="L16" s="7"/>
      <c r="M16" s="7"/>
      <c r="N16" s="7"/>
      <c r="O16" s="7"/>
      <c r="P16" s="7"/>
      <c r="Q16" s="7"/>
      <c r="R16" s="7"/>
      <c r="S16" s="7"/>
      <c r="T16" s="7"/>
      <c r="U16" s="7"/>
      <c r="V16" s="7"/>
      <c r="W16" s="7"/>
      <c r="X16" s="7"/>
      <c r="Y16" s="7"/>
      <c r="Z16" s="7"/>
    </row>
    <row r="17" ht="13.5" customHeight="1">
      <c r="A17" s="1"/>
      <c r="B17" s="1"/>
      <c r="C17" s="1"/>
      <c r="D17" s="1"/>
      <c r="E17" s="1"/>
      <c r="F17" s="1"/>
      <c r="G17" s="1"/>
      <c r="H17" s="1"/>
      <c r="I17" s="7"/>
      <c r="J17" s="7"/>
      <c r="K17" s="7"/>
      <c r="L17" s="7"/>
      <c r="M17" s="7"/>
      <c r="N17" s="7"/>
      <c r="O17" s="7"/>
      <c r="P17" s="7"/>
      <c r="Q17" s="7"/>
      <c r="R17" s="7"/>
      <c r="S17" s="7"/>
      <c r="T17" s="7"/>
      <c r="U17" s="7"/>
      <c r="V17" s="7"/>
      <c r="W17" s="7"/>
      <c r="X17" s="7"/>
      <c r="Y17" s="7"/>
      <c r="Z17" s="7"/>
    </row>
    <row r="18" ht="27.75" customHeight="1">
      <c r="A18" s="1"/>
      <c r="B18" s="20" t="s">
        <v>340</v>
      </c>
      <c r="I18" s="7"/>
      <c r="J18" s="7"/>
      <c r="K18" s="7"/>
      <c r="L18" s="7"/>
      <c r="M18" s="7"/>
      <c r="N18" s="7"/>
      <c r="O18" s="7"/>
      <c r="P18" s="7"/>
      <c r="Q18" s="7"/>
      <c r="R18" s="7"/>
      <c r="S18" s="7"/>
      <c r="T18" s="7"/>
      <c r="U18" s="7"/>
      <c r="V18" s="7"/>
      <c r="W18" s="7"/>
      <c r="X18" s="7"/>
      <c r="Y18" s="7"/>
      <c r="Z18" s="7"/>
    </row>
    <row r="19" ht="24.0" customHeight="1">
      <c r="A19" s="1"/>
      <c r="B19" s="23" t="s">
        <v>5</v>
      </c>
      <c r="C19" s="23" t="s">
        <v>96</v>
      </c>
      <c r="D19" s="23" t="s">
        <v>53</v>
      </c>
      <c r="E19" s="23" t="s">
        <v>103</v>
      </c>
      <c r="F19" s="23" t="s">
        <v>105</v>
      </c>
      <c r="G19" s="23" t="s">
        <v>107</v>
      </c>
      <c r="H19" s="23" t="s">
        <v>347</v>
      </c>
      <c r="I19" s="7"/>
      <c r="J19" s="7"/>
      <c r="K19" s="7"/>
      <c r="L19" s="7"/>
      <c r="M19" s="7"/>
      <c r="N19" s="7"/>
      <c r="O19" s="7"/>
      <c r="P19" s="7"/>
      <c r="Q19" s="7"/>
      <c r="R19" s="7"/>
      <c r="S19" s="7"/>
      <c r="T19" s="7"/>
      <c r="U19" s="7"/>
      <c r="V19" s="7"/>
      <c r="W19" s="7"/>
      <c r="X19" s="7"/>
      <c r="Y19" s="7"/>
      <c r="Z19" s="7"/>
    </row>
    <row r="20" ht="13.5" customHeight="1">
      <c r="A20" s="1"/>
      <c r="B20" s="34" t="s">
        <v>14</v>
      </c>
      <c r="C20" s="34">
        <f>COUNTIFS('Task Tracker'!$B$3:$B$137,"V1",'Task Tracker'!$L$3:$L$137,"To Do")</f>
        <v>0</v>
      </c>
      <c r="D20" s="34">
        <f>COUNTIFS('Task Tracker'!$B$3:$B$137,"V1",'Task Tracker'!$L$3:$L$137,"In Progress")</f>
        <v>16</v>
      </c>
      <c r="E20" s="34">
        <f>COUNTIFS('Task Tracker'!$B$3:$B$137,"V1",'Task Tracker'!$L$3:$L$137,"In Review")</f>
        <v>0</v>
      </c>
      <c r="F20" s="34">
        <f>COUNTIFS('Task Tracker'!$B$3:$B$137,"V1",'Task Tracker'!$L$3:$L$137,"Done")</f>
        <v>0</v>
      </c>
      <c r="G20" s="34">
        <f>COUNTIFS('Task Tracker'!$B$3:$B$137,"V1",'Task Tracker'!$L$3:$L$137,"Blocked")</f>
        <v>0</v>
      </c>
      <c r="H20" s="32">
        <f>COUNTIF('Task Tracker'!$B$3:$B$137,"V1")</f>
        <v>16</v>
      </c>
      <c r="I20" s="7"/>
      <c r="J20" s="7"/>
      <c r="K20" s="7"/>
      <c r="L20" s="7"/>
      <c r="M20" s="7"/>
      <c r="N20" s="7"/>
      <c r="O20" s="7"/>
      <c r="P20" s="7"/>
      <c r="Q20" s="7"/>
      <c r="R20" s="7"/>
      <c r="S20" s="7"/>
      <c r="T20" s="7"/>
      <c r="U20" s="7"/>
      <c r="V20" s="7"/>
      <c r="W20" s="7"/>
      <c r="X20" s="7"/>
      <c r="Y20" s="7"/>
      <c r="Z20" s="7"/>
    </row>
    <row r="21" ht="13.5" customHeight="1">
      <c r="A21" s="1"/>
      <c r="B21" s="34" t="s">
        <v>31</v>
      </c>
      <c r="C21" s="34">
        <f>COUNTIFS('Task Tracker'!$B$3:$B$137,"V2",'Task Tracker'!$L$3:$L$137,"To Do")</f>
        <v>0</v>
      </c>
      <c r="D21" s="34">
        <f>COUNTIFS('Task Tracker'!$B$3:$B$137,"V2",'Task Tracker'!$L$3:$L$137,"In Progress")</f>
        <v>19</v>
      </c>
      <c r="E21" s="34">
        <f>COUNTIFS('Task Tracker'!$B$3:$B$137,"V2",'Task Tracker'!$L$3:$L$137,"In Review")</f>
        <v>0</v>
      </c>
      <c r="F21" s="34">
        <f>COUNTIFS('Task Tracker'!$B$3:$B$137,"V2",'Task Tracker'!$L$3:$L$137,"Done")</f>
        <v>0</v>
      </c>
      <c r="G21" s="34">
        <f>COUNTIFS('Task Tracker'!$B$3:$B$137,"V2",'Task Tracker'!$L$3:$L$137,"Blocked")</f>
        <v>0</v>
      </c>
      <c r="H21" s="32">
        <f>COUNTIF('Task Tracker'!$B$3:$B$137,"V2")</f>
        <v>19</v>
      </c>
      <c r="I21" s="7"/>
      <c r="J21" s="7"/>
      <c r="K21" s="7"/>
      <c r="L21" s="7"/>
      <c r="M21" s="7"/>
      <c r="N21" s="7"/>
      <c r="O21" s="7"/>
      <c r="P21" s="7"/>
      <c r="Q21" s="7"/>
      <c r="R21" s="7"/>
      <c r="S21" s="7"/>
      <c r="T21" s="7"/>
      <c r="U21" s="7"/>
      <c r="V21" s="7"/>
      <c r="W21" s="7"/>
      <c r="X21" s="7"/>
      <c r="Y21" s="7"/>
      <c r="Z21" s="7"/>
    </row>
    <row r="22" ht="13.5" customHeight="1">
      <c r="A22" s="1"/>
      <c r="B22" s="34" t="s">
        <v>43</v>
      </c>
      <c r="C22" s="34">
        <f>COUNTIFS('Task Tracker'!$B$3:$B$137,"V3",'Task Tracker'!$L$3:$L$137,"To Do")</f>
        <v>0</v>
      </c>
      <c r="D22" s="34">
        <f>COUNTIFS('Task Tracker'!$B$3:$B$137,"V3",'Task Tracker'!$L$3:$L$137,"In Progress")</f>
        <v>17</v>
      </c>
      <c r="E22" s="34">
        <f>COUNTIFS('Task Tracker'!$B$3:$B$137,"V3",'Task Tracker'!$L$3:$L$137,"In Review")</f>
        <v>0</v>
      </c>
      <c r="F22" s="34">
        <f>COUNTIFS('Task Tracker'!$B$3:$B$137,"V3",'Task Tracker'!$L$3:$L$137,"Done")</f>
        <v>0</v>
      </c>
      <c r="G22" s="34">
        <f>COUNTIFS('Task Tracker'!$B$3:$B$137,"V3",'Task Tracker'!$L$3:$L$137,"Blocked")</f>
        <v>0</v>
      </c>
      <c r="H22" s="32">
        <f>COUNTIF('Task Tracker'!$B$3:$B$137,"V3")</f>
        <v>17</v>
      </c>
      <c r="I22" s="7"/>
      <c r="J22" s="7"/>
      <c r="K22" s="7"/>
      <c r="L22" s="7"/>
      <c r="M22" s="7"/>
      <c r="N22" s="7"/>
      <c r="O22" s="7"/>
      <c r="P22" s="7"/>
      <c r="Q22" s="7"/>
      <c r="R22" s="7"/>
      <c r="S22" s="7"/>
      <c r="T22" s="7"/>
      <c r="U22" s="7"/>
      <c r="V22" s="7"/>
      <c r="W22" s="7"/>
      <c r="X22" s="7"/>
      <c r="Y22" s="7"/>
      <c r="Z22" s="7"/>
    </row>
    <row r="23" ht="13.5" customHeight="1">
      <c r="A23" s="1"/>
      <c r="B23" s="34" t="s">
        <v>50</v>
      </c>
      <c r="C23" s="34">
        <f>COUNTIFS('Task Tracker'!$B$3:$B$137,"V4",'Task Tracker'!$L$3:$L$137,"To Do")</f>
        <v>23</v>
      </c>
      <c r="D23" s="34">
        <f>COUNTIFS('Task Tracker'!$B$3:$B$137,"V4",'Task Tracker'!$L$3:$L$137,"In Progress")</f>
        <v>0</v>
      </c>
      <c r="E23" s="34">
        <f>COUNTIFS('Task Tracker'!$B$3:$B$137,"V4",'Task Tracker'!$L$3:$L$137,"In Review")</f>
        <v>0</v>
      </c>
      <c r="F23" s="34">
        <f>COUNTIFS('Task Tracker'!$B$3:$B$137,"V4",'Task Tracker'!$L$3:$L$137,"Done")</f>
        <v>0</v>
      </c>
      <c r="G23" s="34">
        <f>COUNTIFS('Task Tracker'!$B$3:$B$137,"V4",'Task Tracker'!$L$3:$L$137,"Blocked")</f>
        <v>0</v>
      </c>
      <c r="H23" s="32">
        <f>COUNTIF('Task Tracker'!$B$3:$B$137,"V4")</f>
        <v>23</v>
      </c>
      <c r="I23" s="7"/>
      <c r="J23" s="7"/>
      <c r="K23" s="7"/>
      <c r="L23" s="7"/>
      <c r="M23" s="7"/>
      <c r="N23" s="7"/>
      <c r="O23" s="7"/>
      <c r="P23" s="7"/>
      <c r="Q23" s="7"/>
      <c r="R23" s="7"/>
      <c r="S23" s="7"/>
      <c r="T23" s="7"/>
      <c r="U23" s="7"/>
      <c r="V23" s="7"/>
      <c r="W23" s="7"/>
      <c r="X23" s="7"/>
      <c r="Y23" s="7"/>
      <c r="Z23" s="7"/>
    </row>
    <row r="24" ht="13.5" customHeight="1">
      <c r="A24" s="1"/>
      <c r="B24" s="34" t="s">
        <v>56</v>
      </c>
      <c r="C24" s="34">
        <f>COUNTIFS('Task Tracker'!$B$3:$B$137,"A1",'Task Tracker'!$L$3:$L$137,"To Do")</f>
        <v>0</v>
      </c>
      <c r="D24" s="34">
        <f>COUNTIFS('Task Tracker'!$B$3:$B$137,"A1",'Task Tracker'!$L$3:$L$137,"In Progress")</f>
        <v>0</v>
      </c>
      <c r="E24" s="34">
        <f>COUNTIFS('Task Tracker'!$B$3:$B$137,"A1",'Task Tracker'!$L$3:$L$137,"In Review")</f>
        <v>15</v>
      </c>
      <c r="F24" s="34">
        <f>COUNTIFS('Task Tracker'!$B$3:$B$137,"A1",'Task Tracker'!$L$3:$L$137,"Done")</f>
        <v>0</v>
      </c>
      <c r="G24" s="34">
        <f>COUNTIFS('Task Tracker'!$B$3:$B$137,"A1",'Task Tracker'!$L$3:$L$137,"Blocked")</f>
        <v>0</v>
      </c>
      <c r="H24" s="32">
        <f>COUNTIF('Task Tracker'!$B$3:$B$137,"A1")</f>
        <v>15</v>
      </c>
      <c r="I24" s="7"/>
      <c r="J24" s="7"/>
      <c r="K24" s="7"/>
      <c r="L24" s="7"/>
      <c r="M24" s="7"/>
      <c r="N24" s="7"/>
      <c r="O24" s="7"/>
      <c r="P24" s="7"/>
      <c r="Q24" s="7"/>
      <c r="R24" s="7"/>
      <c r="S24" s="7"/>
      <c r="T24" s="7"/>
      <c r="U24" s="7"/>
      <c r="V24" s="7"/>
      <c r="W24" s="7"/>
      <c r="X24" s="7"/>
      <c r="Y24" s="7"/>
      <c r="Z24" s="7"/>
    </row>
    <row r="25" ht="13.5" customHeight="1">
      <c r="A25" s="1"/>
      <c r="B25" s="34" t="s">
        <v>65</v>
      </c>
      <c r="C25" s="34">
        <f>COUNTIFS('Task Tracker'!$B$3:$B$137,"A2",'Task Tracker'!$L$3:$L$137,"To Do")</f>
        <v>1</v>
      </c>
      <c r="D25" s="34">
        <f>COUNTIFS('Task Tracker'!$B$3:$B$137,"A2",'Task Tracker'!$L$3:$L$137,"In Progress")</f>
        <v>0</v>
      </c>
      <c r="E25" s="34">
        <f>COUNTIFS('Task Tracker'!$B$3:$B$137,"A2",'Task Tracker'!$L$3:$L$137,"In Review")</f>
        <v>13</v>
      </c>
      <c r="F25" s="34">
        <f>COUNTIFS('Task Tracker'!$B$3:$B$137,"A2",'Task Tracker'!$L$3:$L$137,"Done")</f>
        <v>0</v>
      </c>
      <c r="G25" s="34">
        <f>COUNTIFS('Task Tracker'!$B$3:$B$137,"A2",'Task Tracker'!$L$3:$L$137,"Blocked")</f>
        <v>0</v>
      </c>
      <c r="H25" s="32">
        <f>COUNTIF('Task Tracker'!$B$3:$B$137,"A2")</f>
        <v>14</v>
      </c>
      <c r="I25" s="7"/>
      <c r="J25" s="7"/>
      <c r="K25" s="7"/>
      <c r="L25" s="7"/>
      <c r="M25" s="7"/>
      <c r="N25" s="7"/>
      <c r="O25" s="7"/>
      <c r="P25" s="7"/>
      <c r="Q25" s="7"/>
      <c r="R25" s="7"/>
      <c r="S25" s="7"/>
      <c r="T25" s="7"/>
      <c r="U25" s="7"/>
      <c r="V25" s="7"/>
      <c r="W25" s="7"/>
      <c r="X25" s="7"/>
      <c r="Y25" s="7"/>
      <c r="Z25" s="7"/>
    </row>
    <row r="26" ht="13.5" customHeight="1">
      <c r="A26" s="1"/>
      <c r="B26" s="34" t="s">
        <v>72</v>
      </c>
      <c r="C26" s="34">
        <f>COUNTIFS('Task Tracker'!$B$3:$B$137,"A3",'Task Tracker'!$L$3:$L$137,"To Do")</f>
        <v>0</v>
      </c>
      <c r="D26" s="34">
        <f>COUNTIFS('Task Tracker'!$B$3:$B$137,"A3",'Task Tracker'!$L$3:$L$137,"In Progress")</f>
        <v>0</v>
      </c>
      <c r="E26" s="34">
        <f>COUNTIFS('Task Tracker'!$B$3:$B$137,"A3",'Task Tracker'!$L$3:$L$137,"In Review")</f>
        <v>14</v>
      </c>
      <c r="F26" s="34">
        <f>COUNTIFS('Task Tracker'!$B$3:$B$137,"A3",'Task Tracker'!$L$3:$L$137,"Done")</f>
        <v>0</v>
      </c>
      <c r="G26" s="34">
        <f>COUNTIFS('Task Tracker'!$B$3:$B$137,"A3",'Task Tracker'!$L$3:$L$137,"Blocked")</f>
        <v>0</v>
      </c>
      <c r="H26" s="32">
        <f>COUNTIF('Task Tracker'!$B$3:$B$137,"A3")</f>
        <v>14</v>
      </c>
      <c r="I26" s="7"/>
      <c r="J26" s="7"/>
      <c r="K26" s="7"/>
      <c r="L26" s="7"/>
      <c r="M26" s="7"/>
      <c r="N26" s="7"/>
      <c r="O26" s="7"/>
      <c r="P26" s="7"/>
      <c r="Q26" s="7"/>
      <c r="R26" s="7"/>
      <c r="S26" s="7"/>
      <c r="T26" s="7"/>
      <c r="U26" s="7"/>
      <c r="V26" s="7"/>
      <c r="W26" s="7"/>
      <c r="X26" s="7"/>
      <c r="Y26" s="7"/>
      <c r="Z26" s="7"/>
    </row>
    <row r="27" ht="13.5" customHeight="1">
      <c r="A27" s="1"/>
      <c r="B27" s="34" t="s">
        <v>80</v>
      </c>
      <c r="C27" s="34">
        <f>COUNTIFS('Task Tracker'!$B$3:$B$137,"A4",'Task Tracker'!$L$3:$L$137,"To Do")</f>
        <v>7</v>
      </c>
      <c r="D27" s="34">
        <f>COUNTIFS('Task Tracker'!$B$3:$B$137,"A4",'Task Tracker'!$L$3:$L$137,"In Progress")</f>
        <v>0</v>
      </c>
      <c r="E27" s="34">
        <f>COUNTIFS('Task Tracker'!$B$3:$B$137,"A4",'Task Tracker'!$L$3:$L$137,"In Review")</f>
        <v>10</v>
      </c>
      <c r="F27" s="34">
        <f>COUNTIFS('Task Tracker'!$B$3:$B$137,"A4",'Task Tracker'!$L$3:$L$137,"Done")</f>
        <v>0</v>
      </c>
      <c r="G27" s="34">
        <f>COUNTIFS('Task Tracker'!$B$3:$B$137,"A4",'Task Tracker'!$L$3:$L$137,"Blocked")</f>
        <v>0</v>
      </c>
      <c r="H27" s="32">
        <f>COUNTIF('Task Tracker'!$B$3:$B$137,"A4")</f>
        <v>17</v>
      </c>
      <c r="I27" s="7"/>
      <c r="J27" s="7"/>
      <c r="K27" s="7"/>
      <c r="L27" s="7"/>
      <c r="M27" s="7"/>
      <c r="N27" s="7"/>
      <c r="O27" s="7"/>
      <c r="P27" s="7"/>
      <c r="Q27" s="7"/>
      <c r="R27" s="7"/>
      <c r="S27" s="7"/>
      <c r="T27" s="7"/>
      <c r="U27" s="7"/>
      <c r="V27" s="7"/>
      <c r="W27" s="7"/>
      <c r="X27" s="7"/>
      <c r="Y27" s="7"/>
      <c r="Z27" s="7"/>
    </row>
    <row r="28" ht="13.5" customHeight="1">
      <c r="A28" s="1"/>
      <c r="B28" s="34" t="s">
        <v>587</v>
      </c>
      <c r="C28" s="37">
        <f>COUNTIF('Task Tracker'!$L$3:$L$137,"To Do")</f>
        <v>31</v>
      </c>
      <c r="D28" s="37">
        <f>COUNTIF('Task Tracker'!$L$3:$L$137,"In Progress")</f>
        <v>52</v>
      </c>
      <c r="E28" s="37">
        <f>COUNTIF('Task Tracker'!$L$3:$L$137,"In Review")</f>
        <v>52</v>
      </c>
      <c r="F28" s="37">
        <f>COUNTIF('Task Tracker'!$L$3:$L$137,"Done")</f>
        <v>0</v>
      </c>
      <c r="G28" s="37">
        <f>COUNTIF('Task Tracker'!$L$3:$L$137,"Blocked")</f>
        <v>0</v>
      </c>
      <c r="H28" s="37">
        <f>COUNTA('Task Tracker'!$B$3:$B$137)</f>
        <v>135</v>
      </c>
      <c r="I28" s="7"/>
      <c r="J28" s="7"/>
      <c r="K28" s="7"/>
      <c r="L28" s="7"/>
      <c r="M28" s="7"/>
      <c r="N28" s="7"/>
      <c r="O28" s="7"/>
      <c r="P28" s="7"/>
      <c r="Q28" s="7"/>
      <c r="R28" s="7"/>
      <c r="S28" s="7"/>
      <c r="T28" s="7"/>
      <c r="U28" s="7"/>
      <c r="V28" s="7"/>
      <c r="W28" s="7"/>
      <c r="X28" s="7"/>
      <c r="Y28" s="7"/>
      <c r="Z28" s="7"/>
    </row>
    <row r="29" ht="13.5" customHeight="1">
      <c r="A29" s="1"/>
      <c r="B29" s="1"/>
      <c r="C29" s="1"/>
      <c r="D29" s="1"/>
      <c r="E29" s="1"/>
      <c r="F29" s="1"/>
      <c r="G29" s="1"/>
      <c r="H29" s="1"/>
      <c r="I29" s="7"/>
      <c r="J29" s="7"/>
      <c r="K29" s="7"/>
      <c r="L29" s="7"/>
      <c r="M29" s="7"/>
      <c r="N29" s="7"/>
      <c r="O29" s="7"/>
      <c r="P29" s="7"/>
      <c r="Q29" s="7"/>
      <c r="R29" s="7"/>
      <c r="S29" s="7"/>
      <c r="T29" s="7"/>
      <c r="U29" s="7"/>
      <c r="V29" s="7"/>
      <c r="W29" s="7"/>
      <c r="X29" s="7"/>
      <c r="Y29" s="7"/>
      <c r="Z29" s="7"/>
    </row>
    <row r="30" ht="27.75" customHeight="1">
      <c r="A30" s="1"/>
      <c r="B30" s="20" t="s">
        <v>624</v>
      </c>
      <c r="I30" s="7"/>
      <c r="J30" s="7"/>
      <c r="K30" s="7"/>
      <c r="L30" s="7"/>
      <c r="M30" s="7"/>
      <c r="N30" s="7"/>
      <c r="O30" s="7"/>
      <c r="P30" s="7"/>
      <c r="Q30" s="7"/>
      <c r="R30" s="7"/>
      <c r="S30" s="7"/>
      <c r="T30" s="7"/>
      <c r="U30" s="7"/>
      <c r="V30" s="7"/>
      <c r="W30" s="7"/>
      <c r="X30" s="7"/>
      <c r="Y30" s="7"/>
      <c r="Z30" s="7"/>
    </row>
    <row r="31" ht="13.5" customHeight="1">
      <c r="A31" s="1"/>
      <c r="B31" s="23" t="s">
        <v>11</v>
      </c>
      <c r="C31" s="23" t="s">
        <v>96</v>
      </c>
      <c r="D31" s="23" t="s">
        <v>53</v>
      </c>
      <c r="E31" s="23" t="s">
        <v>103</v>
      </c>
      <c r="F31" s="23" t="s">
        <v>105</v>
      </c>
      <c r="G31" s="23" t="s">
        <v>107</v>
      </c>
      <c r="H31" s="23" t="s">
        <v>347</v>
      </c>
      <c r="I31" s="7"/>
      <c r="J31" s="7"/>
      <c r="K31" s="7"/>
      <c r="L31" s="7"/>
      <c r="M31" s="7"/>
      <c r="N31" s="7"/>
      <c r="O31" s="7"/>
      <c r="P31" s="7"/>
      <c r="Q31" s="7"/>
      <c r="R31" s="7"/>
      <c r="S31" s="7"/>
      <c r="T31" s="7"/>
      <c r="U31" s="7"/>
      <c r="V31" s="7"/>
      <c r="W31" s="7"/>
      <c r="X31" s="7"/>
      <c r="Y31" s="7"/>
      <c r="Z31" s="7"/>
    </row>
    <row r="32" ht="13.5" customHeight="1">
      <c r="A32" s="1"/>
      <c r="B32" s="34" t="s">
        <v>29</v>
      </c>
      <c r="C32" s="34">
        <f>COUNTIFS('Task Tracker'!$C$3:$C$137,"Vendor",'Task Tracker'!$L$3:$L$137,"To Do")</f>
        <v>23</v>
      </c>
      <c r="D32" s="34">
        <f>COUNTIFS('Task Tracker'!$C$3:$C$137,"Vendor",'Task Tracker'!$L$3:$L$137,"In Progress")</f>
        <v>52</v>
      </c>
      <c r="E32" s="34">
        <f>COUNTIFS('Task Tracker'!$C$3:$C$137,"Vendor",'Task Tracker'!$L$3:$L$137,"In Review")</f>
        <v>0</v>
      </c>
      <c r="F32" s="34">
        <f>COUNTIFS('Task Tracker'!$C$3:$C$137,"Vendor",'Task Tracker'!$L$3:$L$137,"Done")</f>
        <v>0</v>
      </c>
      <c r="G32" s="34">
        <f>COUNTIFS('Task Tracker'!$C$3:$C$137,"Vendor",'Task Tracker'!$L$3:$L$137,"Blocked")</f>
        <v>0</v>
      </c>
      <c r="H32" s="32">
        <f>COUNTIF('Task Tracker'!$C$3:$C$137,"Vendor")</f>
        <v>75</v>
      </c>
      <c r="I32" s="7"/>
      <c r="J32" s="7"/>
      <c r="K32" s="7"/>
      <c r="L32" s="7"/>
      <c r="M32" s="7"/>
      <c r="N32" s="7"/>
      <c r="O32" s="7"/>
      <c r="P32" s="7"/>
      <c r="Q32" s="7"/>
      <c r="R32" s="7"/>
      <c r="S32" s="7"/>
      <c r="T32" s="7"/>
      <c r="U32" s="7"/>
      <c r="V32" s="7"/>
      <c r="W32" s="7"/>
      <c r="X32" s="7"/>
      <c r="Y32" s="7"/>
      <c r="Z32" s="7"/>
    </row>
    <row r="33" ht="13.5" customHeight="1">
      <c r="A33" s="1"/>
      <c r="B33" s="34" t="s">
        <v>63</v>
      </c>
      <c r="C33" s="34">
        <f>COUNTIFS('Task Tracker'!$C$3:$C$137,"Admin",'Task Tracker'!$L$3:$L$137,"To Do")</f>
        <v>8</v>
      </c>
      <c r="D33" s="34">
        <f>COUNTIFS('Task Tracker'!$C$3:$C$137,"Admin",'Task Tracker'!$L$3:$L$137,"In Progress")</f>
        <v>0</v>
      </c>
      <c r="E33" s="34">
        <f>COUNTIFS('Task Tracker'!$C$3:$C$137,"Admin",'Task Tracker'!$L$3:$L$137,"In Review")</f>
        <v>52</v>
      </c>
      <c r="F33" s="34">
        <f>COUNTIFS('Task Tracker'!$C$3:$C$137,"Admin",'Task Tracker'!$L$3:$L$137,"Done")</f>
        <v>0</v>
      </c>
      <c r="G33" s="34">
        <f>COUNTIFS('Task Tracker'!$C$3:$C$137,"Admin",'Task Tracker'!$L$3:$L$137,"Blocked")</f>
        <v>0</v>
      </c>
      <c r="H33" s="32">
        <f>COUNTIF('Task Tracker'!$C$3:$C$137,"Admin")</f>
        <v>60</v>
      </c>
      <c r="I33" s="7"/>
      <c r="J33" s="7"/>
      <c r="K33" s="7"/>
      <c r="L33" s="7"/>
      <c r="M33" s="7"/>
      <c r="N33" s="7"/>
      <c r="O33" s="7"/>
      <c r="P33" s="7"/>
      <c r="Q33" s="7"/>
      <c r="R33" s="7"/>
      <c r="S33" s="7"/>
      <c r="T33" s="7"/>
      <c r="U33" s="7"/>
      <c r="V33" s="7"/>
      <c r="W33" s="7"/>
      <c r="X33" s="7"/>
      <c r="Y33" s="7"/>
      <c r="Z33" s="7"/>
    </row>
    <row r="34" ht="13.5" customHeight="1">
      <c r="A34" s="1"/>
      <c r="B34" s="1"/>
      <c r="C34" s="1"/>
      <c r="D34" s="1"/>
      <c r="E34" s="1"/>
      <c r="F34" s="1"/>
      <c r="G34" s="1"/>
      <c r="H34" s="1"/>
      <c r="I34" s="7"/>
      <c r="J34" s="7"/>
      <c r="K34" s="7"/>
      <c r="L34" s="7"/>
      <c r="M34" s="7"/>
      <c r="N34" s="7"/>
      <c r="O34" s="7"/>
      <c r="P34" s="7"/>
      <c r="Q34" s="7"/>
      <c r="R34" s="7"/>
      <c r="S34" s="7"/>
      <c r="T34" s="7"/>
      <c r="U34" s="7"/>
      <c r="V34" s="7"/>
      <c r="W34" s="7"/>
      <c r="X34" s="7"/>
      <c r="Y34" s="7"/>
      <c r="Z34" s="7"/>
    </row>
    <row r="35" ht="27.75" customHeight="1">
      <c r="A35" s="1"/>
      <c r="B35" s="20" t="s">
        <v>717</v>
      </c>
      <c r="F35" s="1"/>
      <c r="G35" s="1"/>
      <c r="H35" s="1"/>
      <c r="I35" s="7"/>
      <c r="J35" s="7"/>
      <c r="K35" s="7"/>
      <c r="L35" s="7"/>
      <c r="M35" s="7"/>
      <c r="N35" s="7"/>
      <c r="O35" s="7"/>
      <c r="P35" s="7"/>
      <c r="Q35" s="7"/>
      <c r="R35" s="7"/>
      <c r="S35" s="7"/>
      <c r="T35" s="7"/>
      <c r="U35" s="7"/>
      <c r="V35" s="7"/>
      <c r="W35" s="7"/>
      <c r="X35" s="7"/>
      <c r="Y35" s="7"/>
      <c r="Z35" s="7"/>
    </row>
    <row r="36" ht="13.5" customHeight="1">
      <c r="A36" s="1"/>
      <c r="B36" s="23" t="s">
        <v>21</v>
      </c>
      <c r="C36" s="23" t="s">
        <v>727</v>
      </c>
      <c r="D36" s="1"/>
      <c r="E36" s="1"/>
      <c r="F36" s="1"/>
      <c r="G36" s="1"/>
      <c r="H36" s="1"/>
      <c r="I36" s="7"/>
      <c r="J36" s="7"/>
      <c r="K36" s="7"/>
      <c r="L36" s="7"/>
      <c r="M36" s="7"/>
      <c r="N36" s="7"/>
      <c r="O36" s="7"/>
      <c r="P36" s="7"/>
      <c r="Q36" s="7"/>
      <c r="R36" s="7"/>
      <c r="S36" s="7"/>
      <c r="T36" s="7"/>
      <c r="U36" s="7"/>
      <c r="V36" s="7"/>
      <c r="W36" s="7"/>
      <c r="X36" s="7"/>
      <c r="Y36" s="7"/>
      <c r="Z36" s="7"/>
    </row>
    <row r="37" ht="13.5" customHeight="1">
      <c r="A37" s="1"/>
      <c r="B37" s="34" t="s">
        <v>42</v>
      </c>
      <c r="C37" s="32">
        <f>COUNTIF('Task Tracker'!$I$3:$I$137,"P0")</f>
        <v>99</v>
      </c>
      <c r="D37" s="1"/>
      <c r="E37" s="1"/>
      <c r="F37" s="1"/>
      <c r="G37" s="1"/>
      <c r="H37" s="1"/>
      <c r="I37" s="7"/>
      <c r="J37" s="7"/>
      <c r="K37" s="7"/>
      <c r="L37" s="7"/>
      <c r="M37" s="7"/>
      <c r="N37" s="7"/>
      <c r="O37" s="7"/>
      <c r="P37" s="7"/>
      <c r="Q37" s="7"/>
      <c r="R37" s="7"/>
      <c r="S37" s="7"/>
      <c r="T37" s="7"/>
      <c r="U37" s="7"/>
      <c r="V37" s="7"/>
      <c r="W37" s="7"/>
      <c r="X37" s="7"/>
      <c r="Y37" s="7"/>
      <c r="Z37" s="7"/>
    </row>
    <row r="38" ht="13.5" customHeight="1">
      <c r="A38" s="1"/>
      <c r="B38" s="34" t="s">
        <v>102</v>
      </c>
      <c r="C38" s="32">
        <f>COUNTIF('Task Tracker'!$I$3:$I$137,"P1")</f>
        <v>36</v>
      </c>
      <c r="D38" s="1"/>
      <c r="E38" s="1"/>
      <c r="F38" s="1"/>
      <c r="G38" s="1"/>
      <c r="H38" s="1"/>
      <c r="I38" s="7"/>
      <c r="J38" s="7"/>
      <c r="K38" s="7"/>
      <c r="L38" s="7"/>
      <c r="M38" s="7"/>
      <c r="N38" s="7"/>
      <c r="O38" s="7"/>
      <c r="P38" s="7"/>
      <c r="Q38" s="7"/>
      <c r="R38" s="7"/>
      <c r="S38" s="7"/>
      <c r="T38" s="7"/>
      <c r="U38" s="7"/>
      <c r="V38" s="7"/>
      <c r="W38" s="7"/>
      <c r="X38" s="7"/>
      <c r="Y38" s="7"/>
      <c r="Z38" s="7"/>
    </row>
    <row r="39" ht="13.5" customHeight="1">
      <c r="A39" s="1"/>
      <c r="B39" s="1"/>
      <c r="C39" s="1"/>
      <c r="D39" s="1"/>
      <c r="E39" s="1"/>
      <c r="F39" s="1"/>
      <c r="G39" s="1"/>
      <c r="H39" s="1"/>
      <c r="I39" s="7"/>
      <c r="J39" s="7"/>
      <c r="K39" s="7"/>
      <c r="L39" s="7"/>
      <c r="M39" s="7"/>
      <c r="N39" s="7"/>
      <c r="O39" s="7"/>
      <c r="P39" s="7"/>
      <c r="Q39" s="7"/>
      <c r="R39" s="7"/>
      <c r="S39" s="7"/>
      <c r="T39" s="7"/>
      <c r="U39" s="7"/>
      <c r="V39" s="7"/>
      <c r="W39" s="7"/>
      <c r="X39" s="7"/>
      <c r="Y39" s="7"/>
      <c r="Z39" s="7"/>
    </row>
    <row r="40" ht="27.75" customHeight="1">
      <c r="A40" s="1"/>
      <c r="B40" s="20" t="s">
        <v>767</v>
      </c>
      <c r="E40" s="1"/>
      <c r="F40" s="1"/>
      <c r="G40" s="1"/>
      <c r="H40" s="1"/>
      <c r="I40" s="7"/>
      <c r="J40" s="7"/>
      <c r="K40" s="7"/>
      <c r="L40" s="7"/>
      <c r="M40" s="7"/>
      <c r="N40" s="7"/>
      <c r="O40" s="7"/>
      <c r="P40" s="7"/>
      <c r="Q40" s="7"/>
      <c r="R40" s="7"/>
      <c r="S40" s="7"/>
      <c r="T40" s="7"/>
      <c r="U40" s="7"/>
      <c r="V40" s="7"/>
      <c r="W40" s="7"/>
      <c r="X40" s="7"/>
      <c r="Y40" s="7"/>
      <c r="Z40" s="7"/>
    </row>
    <row r="41" ht="13.5" customHeight="1">
      <c r="A41" s="1"/>
      <c r="B41" s="23" t="s">
        <v>96</v>
      </c>
      <c r="C41" s="38" t="s">
        <v>771</v>
      </c>
      <c r="D41" s="30"/>
      <c r="E41" s="1"/>
      <c r="F41" s="1"/>
      <c r="G41" s="1"/>
      <c r="H41" s="1"/>
      <c r="I41" s="7"/>
      <c r="J41" s="7"/>
      <c r="K41" s="7"/>
      <c r="L41" s="7"/>
      <c r="M41" s="7"/>
      <c r="N41" s="7"/>
      <c r="O41" s="7"/>
      <c r="P41" s="7"/>
      <c r="Q41" s="7"/>
      <c r="R41" s="7"/>
      <c r="S41" s="7"/>
      <c r="T41" s="7"/>
      <c r="U41" s="7"/>
      <c r="V41" s="7"/>
      <c r="W41" s="7"/>
      <c r="X41" s="7"/>
      <c r="Y41" s="7"/>
      <c r="Z41" s="7"/>
    </row>
    <row r="42" ht="13.5" customHeight="1">
      <c r="A42" s="1"/>
      <c r="B42" s="23" t="s">
        <v>53</v>
      </c>
      <c r="C42" s="38" t="s">
        <v>781</v>
      </c>
      <c r="D42" s="30"/>
      <c r="E42" s="1"/>
      <c r="F42" s="1"/>
      <c r="G42" s="1"/>
      <c r="H42" s="1"/>
      <c r="I42" s="7"/>
      <c r="J42" s="7"/>
      <c r="K42" s="7"/>
      <c r="L42" s="7"/>
      <c r="M42" s="7"/>
      <c r="N42" s="7"/>
      <c r="O42" s="7"/>
      <c r="P42" s="7"/>
      <c r="Q42" s="7"/>
      <c r="R42" s="7"/>
      <c r="S42" s="7"/>
      <c r="T42" s="7"/>
      <c r="U42" s="7"/>
      <c r="V42" s="7"/>
      <c r="W42" s="7"/>
      <c r="X42" s="7"/>
      <c r="Y42" s="7"/>
      <c r="Z42" s="7"/>
    </row>
    <row r="43" ht="13.5" customHeight="1">
      <c r="A43" s="1"/>
      <c r="B43" s="23" t="s">
        <v>103</v>
      </c>
      <c r="C43" s="38" t="s">
        <v>792</v>
      </c>
      <c r="D43" s="30"/>
      <c r="E43" s="1"/>
      <c r="F43" s="1"/>
      <c r="G43" s="1"/>
      <c r="H43" s="1"/>
      <c r="I43" s="7"/>
      <c r="J43" s="7"/>
      <c r="K43" s="7"/>
      <c r="L43" s="7"/>
      <c r="M43" s="7"/>
      <c r="N43" s="7"/>
      <c r="O43" s="7"/>
      <c r="P43" s="7"/>
      <c r="Q43" s="7"/>
      <c r="R43" s="7"/>
      <c r="S43" s="7"/>
      <c r="T43" s="7"/>
      <c r="U43" s="7"/>
      <c r="V43" s="7"/>
      <c r="W43" s="7"/>
      <c r="X43" s="7"/>
      <c r="Y43" s="7"/>
      <c r="Z43" s="7"/>
    </row>
    <row r="44" ht="13.5" customHeight="1">
      <c r="A44" s="1"/>
      <c r="B44" s="23" t="s">
        <v>105</v>
      </c>
      <c r="C44" s="38" t="s">
        <v>804</v>
      </c>
      <c r="D44" s="30"/>
      <c r="E44" s="1"/>
      <c r="F44" s="1"/>
      <c r="G44" s="1"/>
      <c r="H44" s="1"/>
      <c r="I44" s="7"/>
      <c r="J44" s="7"/>
      <c r="K44" s="7"/>
      <c r="L44" s="7"/>
      <c r="M44" s="7"/>
      <c r="N44" s="7"/>
      <c r="O44" s="7"/>
      <c r="P44" s="7"/>
      <c r="Q44" s="7"/>
      <c r="R44" s="7"/>
      <c r="S44" s="7"/>
      <c r="T44" s="7"/>
      <c r="U44" s="7"/>
      <c r="V44" s="7"/>
      <c r="W44" s="7"/>
      <c r="X44" s="7"/>
      <c r="Y44" s="7"/>
      <c r="Z44" s="7"/>
    </row>
    <row r="45" ht="13.5" customHeight="1">
      <c r="A45" s="1"/>
      <c r="B45" s="23" t="s">
        <v>107</v>
      </c>
      <c r="C45" s="38" t="s">
        <v>815</v>
      </c>
      <c r="D45" s="30"/>
      <c r="E45" s="1"/>
      <c r="F45" s="1"/>
      <c r="G45" s="1"/>
      <c r="H45" s="1"/>
      <c r="I45" s="7"/>
      <c r="J45" s="7"/>
      <c r="K45" s="7"/>
      <c r="L45" s="7"/>
      <c r="M45" s="7"/>
      <c r="N45" s="7"/>
      <c r="O45" s="7"/>
      <c r="P45" s="7"/>
      <c r="Q45" s="7"/>
      <c r="R45" s="7"/>
      <c r="S45" s="7"/>
      <c r="T45" s="7"/>
      <c r="U45" s="7"/>
      <c r="V45" s="7"/>
      <c r="W45" s="7"/>
      <c r="X45" s="7"/>
      <c r="Y45" s="7"/>
      <c r="Z45" s="7"/>
    </row>
    <row r="46" ht="13.5" customHeight="1">
      <c r="A46" s="1"/>
      <c r="B46" s="1"/>
      <c r="C46" s="1"/>
      <c r="D46" s="1"/>
      <c r="E46" s="1"/>
      <c r="F46" s="1"/>
      <c r="G46" s="1"/>
      <c r="H46" s="1"/>
      <c r="I46" s="7"/>
      <c r="J46" s="7"/>
      <c r="K46" s="7"/>
      <c r="L46" s="7"/>
      <c r="M46" s="7"/>
      <c r="N46" s="7"/>
      <c r="O46" s="7"/>
      <c r="P46" s="7"/>
      <c r="Q46" s="7"/>
      <c r="R46" s="7"/>
      <c r="S46" s="7"/>
      <c r="T46" s="7"/>
      <c r="U46" s="7"/>
      <c r="V46" s="7"/>
      <c r="W46" s="7"/>
      <c r="X46" s="7"/>
      <c r="Y46" s="7"/>
      <c r="Z46" s="7"/>
    </row>
    <row r="47" ht="13.5" customHeight="1">
      <c r="A47" s="1"/>
      <c r="B47" s="1"/>
      <c r="C47" s="1"/>
      <c r="D47" s="1"/>
      <c r="E47" s="1"/>
      <c r="F47" s="1"/>
      <c r="G47" s="1"/>
      <c r="H47" s="1"/>
      <c r="I47" s="7"/>
      <c r="J47" s="7"/>
      <c r="K47" s="7"/>
      <c r="L47" s="7"/>
      <c r="M47" s="7"/>
      <c r="N47" s="7"/>
      <c r="O47" s="7"/>
      <c r="P47" s="7"/>
      <c r="Q47" s="7"/>
      <c r="R47" s="7"/>
      <c r="S47" s="7"/>
      <c r="T47" s="7"/>
      <c r="U47" s="7"/>
      <c r="V47" s="7"/>
      <c r="W47" s="7"/>
      <c r="X47" s="7"/>
      <c r="Y47" s="7"/>
      <c r="Z47" s="7"/>
    </row>
    <row r="48" ht="13.5" customHeight="1">
      <c r="A48" s="1"/>
      <c r="B48" s="1"/>
      <c r="C48" s="1"/>
      <c r="D48" s="1"/>
      <c r="E48" s="1"/>
      <c r="F48" s="1"/>
      <c r="G48" s="1"/>
      <c r="H48" s="1"/>
      <c r="I48" s="7"/>
      <c r="J48" s="7"/>
      <c r="K48" s="7"/>
      <c r="L48" s="7"/>
      <c r="M48" s="7"/>
      <c r="N48" s="7"/>
      <c r="O48" s="7"/>
      <c r="P48" s="7"/>
      <c r="Q48" s="7"/>
      <c r="R48" s="7"/>
      <c r="S48" s="7"/>
      <c r="T48" s="7"/>
      <c r="U48" s="7"/>
      <c r="V48" s="7"/>
      <c r="W48" s="7"/>
      <c r="X48" s="7"/>
      <c r="Y48" s="7"/>
      <c r="Z48" s="7"/>
    </row>
    <row r="49" ht="13.5" customHeight="1">
      <c r="A49" s="1"/>
      <c r="B49" s="1"/>
      <c r="C49" s="1"/>
      <c r="D49" s="1"/>
      <c r="E49" s="1"/>
      <c r="F49" s="1"/>
      <c r="G49" s="1"/>
      <c r="H49" s="1"/>
      <c r="I49" s="7"/>
      <c r="J49" s="7"/>
      <c r="K49" s="7"/>
      <c r="L49" s="7"/>
      <c r="M49" s="7"/>
      <c r="N49" s="7"/>
      <c r="O49" s="7"/>
      <c r="P49" s="7"/>
      <c r="Q49" s="7"/>
      <c r="R49" s="7"/>
      <c r="S49" s="7"/>
      <c r="T49" s="7"/>
      <c r="U49" s="7"/>
      <c r="V49" s="7"/>
      <c r="W49" s="7"/>
      <c r="X49" s="7"/>
      <c r="Y49" s="7"/>
      <c r="Z49" s="7"/>
    </row>
    <row r="50" ht="13.5" customHeight="1">
      <c r="A50" s="1"/>
      <c r="B50" s="1"/>
      <c r="C50" s="1"/>
      <c r="D50" s="1"/>
      <c r="E50" s="1"/>
      <c r="F50" s="1"/>
      <c r="G50" s="1"/>
      <c r="H50" s="1"/>
      <c r="I50" s="7"/>
      <c r="J50" s="7"/>
      <c r="K50" s="7"/>
      <c r="L50" s="7"/>
      <c r="M50" s="7"/>
      <c r="N50" s="7"/>
      <c r="O50" s="7"/>
      <c r="P50" s="7"/>
      <c r="Q50" s="7"/>
      <c r="R50" s="7"/>
      <c r="S50" s="7"/>
      <c r="T50" s="7"/>
      <c r="U50" s="7"/>
      <c r="V50" s="7"/>
      <c r="W50" s="7"/>
      <c r="X50" s="7"/>
      <c r="Y50" s="7"/>
      <c r="Z50" s="7"/>
    </row>
    <row r="51" ht="13.5" customHeight="1">
      <c r="A51" s="1"/>
      <c r="B51" s="1"/>
      <c r="C51" s="1"/>
      <c r="D51" s="1"/>
      <c r="E51" s="1"/>
      <c r="F51" s="1"/>
      <c r="G51" s="1"/>
      <c r="H51" s="1"/>
      <c r="I51" s="7"/>
      <c r="J51" s="7"/>
      <c r="K51" s="7"/>
      <c r="L51" s="7"/>
      <c r="M51" s="7"/>
      <c r="N51" s="7"/>
      <c r="O51" s="7"/>
      <c r="P51" s="7"/>
      <c r="Q51" s="7"/>
      <c r="R51" s="7"/>
      <c r="S51" s="7"/>
      <c r="T51" s="7"/>
      <c r="U51" s="7"/>
      <c r="V51" s="7"/>
      <c r="W51" s="7"/>
      <c r="X51" s="7"/>
      <c r="Y51" s="7"/>
      <c r="Z51" s="7"/>
    </row>
    <row r="52" ht="13.5" customHeight="1">
      <c r="A52" s="1"/>
      <c r="B52" s="1"/>
      <c r="C52" s="1"/>
      <c r="D52" s="1"/>
      <c r="E52" s="1"/>
      <c r="F52" s="1"/>
      <c r="G52" s="1"/>
      <c r="H52" s="1"/>
      <c r="I52" s="7"/>
      <c r="J52" s="7"/>
      <c r="K52" s="7"/>
      <c r="L52" s="7"/>
      <c r="M52" s="7"/>
      <c r="N52" s="7"/>
      <c r="O52" s="7"/>
      <c r="P52" s="7"/>
      <c r="Q52" s="7"/>
      <c r="R52" s="7"/>
      <c r="S52" s="7"/>
      <c r="T52" s="7"/>
      <c r="U52" s="7"/>
      <c r="V52" s="7"/>
      <c r="W52" s="7"/>
      <c r="X52" s="7"/>
      <c r="Y52" s="7"/>
      <c r="Z52" s="7"/>
    </row>
    <row r="53" ht="13.5" customHeight="1">
      <c r="A53" s="1"/>
      <c r="B53" s="1"/>
      <c r="C53" s="1"/>
      <c r="D53" s="1"/>
      <c r="E53" s="1"/>
      <c r="F53" s="1"/>
      <c r="G53" s="1"/>
      <c r="H53" s="1"/>
      <c r="I53" s="7"/>
      <c r="J53" s="7"/>
      <c r="K53" s="7"/>
      <c r="L53" s="7"/>
      <c r="M53" s="7"/>
      <c r="N53" s="7"/>
      <c r="O53" s="7"/>
      <c r="P53" s="7"/>
      <c r="Q53" s="7"/>
      <c r="R53" s="7"/>
      <c r="S53" s="7"/>
      <c r="T53" s="7"/>
      <c r="U53" s="7"/>
      <c r="V53" s="7"/>
      <c r="W53" s="7"/>
      <c r="X53" s="7"/>
      <c r="Y53" s="7"/>
      <c r="Z53" s="7"/>
    </row>
    <row r="54" ht="13.5" customHeight="1">
      <c r="A54" s="1"/>
      <c r="B54" s="1"/>
      <c r="C54" s="1"/>
      <c r="D54" s="1"/>
      <c r="E54" s="1"/>
      <c r="F54" s="1"/>
      <c r="G54" s="1"/>
      <c r="H54" s="1"/>
      <c r="I54" s="7"/>
      <c r="J54" s="7"/>
      <c r="K54" s="7"/>
      <c r="L54" s="7"/>
      <c r="M54" s="7"/>
      <c r="N54" s="7"/>
      <c r="O54" s="7"/>
      <c r="P54" s="7"/>
      <c r="Q54" s="7"/>
      <c r="R54" s="7"/>
      <c r="S54" s="7"/>
      <c r="T54" s="7"/>
      <c r="U54" s="7"/>
      <c r="V54" s="7"/>
      <c r="W54" s="7"/>
      <c r="X54" s="7"/>
      <c r="Y54" s="7"/>
      <c r="Z54" s="7"/>
    </row>
    <row r="55" ht="13.5" customHeight="1">
      <c r="A55" s="1"/>
      <c r="B55" s="1"/>
      <c r="C55" s="1"/>
      <c r="D55" s="1"/>
      <c r="E55" s="1"/>
      <c r="F55" s="1"/>
      <c r="G55" s="1"/>
      <c r="H55" s="1"/>
      <c r="I55" s="7"/>
      <c r="J55" s="7"/>
      <c r="K55" s="7"/>
      <c r="L55" s="7"/>
      <c r="M55" s="7"/>
      <c r="N55" s="7"/>
      <c r="O55" s="7"/>
      <c r="P55" s="7"/>
      <c r="Q55" s="7"/>
      <c r="R55" s="7"/>
      <c r="S55" s="7"/>
      <c r="T55" s="7"/>
      <c r="U55" s="7"/>
      <c r="V55" s="7"/>
      <c r="W55" s="7"/>
      <c r="X55" s="7"/>
      <c r="Y55" s="7"/>
      <c r="Z55" s="7"/>
    </row>
    <row r="56" ht="13.5" customHeight="1">
      <c r="A56" s="1"/>
      <c r="B56" s="1"/>
      <c r="C56" s="1"/>
      <c r="D56" s="1"/>
      <c r="E56" s="1"/>
      <c r="F56" s="1"/>
      <c r="G56" s="1"/>
      <c r="H56" s="1"/>
      <c r="I56" s="7"/>
      <c r="J56" s="7"/>
      <c r="K56" s="7"/>
      <c r="L56" s="7"/>
      <c r="M56" s="7"/>
      <c r="N56" s="7"/>
      <c r="O56" s="7"/>
      <c r="P56" s="7"/>
      <c r="Q56" s="7"/>
      <c r="R56" s="7"/>
      <c r="S56" s="7"/>
      <c r="T56" s="7"/>
      <c r="U56" s="7"/>
      <c r="V56" s="7"/>
      <c r="W56" s="7"/>
      <c r="X56" s="7"/>
      <c r="Y56" s="7"/>
      <c r="Z56" s="7"/>
    </row>
    <row r="57" ht="13.5" customHeight="1">
      <c r="A57" s="1"/>
      <c r="B57" s="1"/>
      <c r="C57" s="1"/>
      <c r="D57" s="1"/>
      <c r="E57" s="1"/>
      <c r="F57" s="1"/>
      <c r="G57" s="1"/>
      <c r="H57" s="1"/>
      <c r="I57" s="7"/>
      <c r="J57" s="7"/>
      <c r="K57" s="7"/>
      <c r="L57" s="7"/>
      <c r="M57" s="7"/>
      <c r="N57" s="7"/>
      <c r="O57" s="7"/>
      <c r="P57" s="7"/>
      <c r="Q57" s="7"/>
      <c r="R57" s="7"/>
      <c r="S57" s="7"/>
      <c r="T57" s="7"/>
      <c r="U57" s="7"/>
      <c r="V57" s="7"/>
      <c r="W57" s="7"/>
      <c r="X57" s="7"/>
      <c r="Y57" s="7"/>
      <c r="Z57" s="7"/>
    </row>
    <row r="58" ht="13.5" customHeight="1">
      <c r="A58" s="1"/>
      <c r="B58" s="1"/>
      <c r="C58" s="1"/>
      <c r="D58" s="1"/>
      <c r="E58" s="1"/>
      <c r="F58" s="1"/>
      <c r="G58" s="1"/>
      <c r="H58" s="1"/>
      <c r="I58" s="7"/>
      <c r="J58" s="7"/>
      <c r="K58" s="7"/>
      <c r="L58" s="7"/>
      <c r="M58" s="7"/>
      <c r="N58" s="7"/>
      <c r="O58" s="7"/>
      <c r="P58" s="7"/>
      <c r="Q58" s="7"/>
      <c r="R58" s="7"/>
      <c r="S58" s="7"/>
      <c r="T58" s="7"/>
      <c r="U58" s="7"/>
      <c r="V58" s="7"/>
      <c r="W58" s="7"/>
      <c r="X58" s="7"/>
      <c r="Y58" s="7"/>
      <c r="Z58" s="7"/>
    </row>
    <row r="59" ht="13.5" customHeight="1">
      <c r="A59" s="1"/>
      <c r="B59" s="1"/>
      <c r="C59" s="1"/>
      <c r="D59" s="1"/>
      <c r="E59" s="1"/>
      <c r="F59" s="1"/>
      <c r="G59" s="1"/>
      <c r="H59" s="1"/>
      <c r="I59" s="7"/>
      <c r="J59" s="7"/>
      <c r="K59" s="7"/>
      <c r="L59" s="7"/>
      <c r="M59" s="7"/>
      <c r="N59" s="7"/>
      <c r="O59" s="7"/>
      <c r="P59" s="7"/>
      <c r="Q59" s="7"/>
      <c r="R59" s="7"/>
      <c r="S59" s="7"/>
      <c r="T59" s="7"/>
      <c r="U59" s="7"/>
      <c r="V59" s="7"/>
      <c r="W59" s="7"/>
      <c r="X59" s="7"/>
      <c r="Y59" s="7"/>
      <c r="Z59" s="7"/>
    </row>
    <row r="60" ht="13.5" customHeight="1">
      <c r="A60" s="1"/>
      <c r="B60" s="1"/>
      <c r="C60" s="1"/>
      <c r="D60" s="1"/>
      <c r="E60" s="1"/>
      <c r="F60" s="1"/>
      <c r="G60" s="1"/>
      <c r="H60" s="1"/>
      <c r="I60" s="7"/>
      <c r="J60" s="7"/>
      <c r="K60" s="7"/>
      <c r="L60" s="7"/>
      <c r="M60" s="7"/>
      <c r="N60" s="7"/>
      <c r="O60" s="7"/>
      <c r="P60" s="7"/>
      <c r="Q60" s="7"/>
      <c r="R60" s="7"/>
      <c r="S60" s="7"/>
      <c r="T60" s="7"/>
      <c r="U60" s="7"/>
      <c r="V60" s="7"/>
      <c r="W60" s="7"/>
      <c r="X60" s="7"/>
      <c r="Y60" s="7"/>
      <c r="Z60" s="7"/>
    </row>
    <row r="61" ht="13.5" customHeight="1">
      <c r="A61" s="1"/>
      <c r="B61" s="1"/>
      <c r="C61" s="1"/>
      <c r="D61" s="1"/>
      <c r="E61" s="1"/>
      <c r="F61" s="1"/>
      <c r="G61" s="1"/>
      <c r="H61" s="1"/>
      <c r="I61" s="7"/>
      <c r="J61" s="7"/>
      <c r="K61" s="7"/>
      <c r="L61" s="7"/>
      <c r="M61" s="7"/>
      <c r="N61" s="7"/>
      <c r="O61" s="7"/>
      <c r="P61" s="7"/>
      <c r="Q61" s="7"/>
      <c r="R61" s="7"/>
      <c r="S61" s="7"/>
      <c r="T61" s="7"/>
      <c r="U61" s="7"/>
      <c r="V61" s="7"/>
      <c r="W61" s="7"/>
      <c r="X61" s="7"/>
      <c r="Y61" s="7"/>
      <c r="Z61" s="7"/>
    </row>
    <row r="62" ht="13.5" customHeight="1">
      <c r="A62" s="1"/>
      <c r="B62" s="1"/>
      <c r="C62" s="1"/>
      <c r="D62" s="1"/>
      <c r="E62" s="1"/>
      <c r="F62" s="1"/>
      <c r="G62" s="1"/>
      <c r="H62" s="1"/>
      <c r="I62" s="7"/>
      <c r="J62" s="7"/>
      <c r="K62" s="7"/>
      <c r="L62" s="7"/>
      <c r="M62" s="7"/>
      <c r="N62" s="7"/>
      <c r="O62" s="7"/>
      <c r="P62" s="7"/>
      <c r="Q62" s="7"/>
      <c r="R62" s="7"/>
      <c r="S62" s="7"/>
      <c r="T62" s="7"/>
      <c r="U62" s="7"/>
      <c r="V62" s="7"/>
      <c r="W62" s="7"/>
      <c r="X62" s="7"/>
      <c r="Y62" s="7"/>
      <c r="Z62" s="7"/>
    </row>
    <row r="63" ht="13.5" customHeight="1">
      <c r="A63" s="1"/>
      <c r="B63" s="1"/>
      <c r="C63" s="1"/>
      <c r="D63" s="1"/>
      <c r="E63" s="1"/>
      <c r="F63" s="1"/>
      <c r="G63" s="1"/>
      <c r="H63" s="1"/>
      <c r="I63" s="7"/>
      <c r="J63" s="7"/>
      <c r="K63" s="7"/>
      <c r="L63" s="7"/>
      <c r="M63" s="7"/>
      <c r="N63" s="7"/>
      <c r="O63" s="7"/>
      <c r="P63" s="7"/>
      <c r="Q63" s="7"/>
      <c r="R63" s="7"/>
      <c r="S63" s="7"/>
      <c r="T63" s="7"/>
      <c r="U63" s="7"/>
      <c r="V63" s="7"/>
      <c r="W63" s="7"/>
      <c r="X63" s="7"/>
      <c r="Y63" s="7"/>
      <c r="Z63" s="7"/>
    </row>
    <row r="64" ht="13.5" customHeight="1">
      <c r="A64" s="1"/>
      <c r="B64" s="1"/>
      <c r="C64" s="1"/>
      <c r="D64" s="1"/>
      <c r="E64" s="1"/>
      <c r="F64" s="1"/>
      <c r="G64" s="1"/>
      <c r="H64" s="1"/>
      <c r="I64" s="7"/>
      <c r="J64" s="7"/>
      <c r="K64" s="7"/>
      <c r="L64" s="7"/>
      <c r="M64" s="7"/>
      <c r="N64" s="7"/>
      <c r="O64" s="7"/>
      <c r="P64" s="7"/>
      <c r="Q64" s="7"/>
      <c r="R64" s="7"/>
      <c r="S64" s="7"/>
      <c r="T64" s="7"/>
      <c r="U64" s="7"/>
      <c r="V64" s="7"/>
      <c r="W64" s="7"/>
      <c r="X64" s="7"/>
      <c r="Y64" s="7"/>
      <c r="Z64" s="7"/>
    </row>
    <row r="65" ht="13.5" customHeight="1">
      <c r="A65" s="1"/>
      <c r="B65" s="1"/>
      <c r="C65" s="1"/>
      <c r="D65" s="1"/>
      <c r="E65" s="1"/>
      <c r="F65" s="1"/>
      <c r="G65" s="1"/>
      <c r="H65" s="1"/>
      <c r="I65" s="7"/>
      <c r="J65" s="7"/>
      <c r="K65" s="7"/>
      <c r="L65" s="7"/>
      <c r="M65" s="7"/>
      <c r="N65" s="7"/>
      <c r="O65" s="7"/>
      <c r="P65" s="7"/>
      <c r="Q65" s="7"/>
      <c r="R65" s="7"/>
      <c r="S65" s="7"/>
      <c r="T65" s="7"/>
      <c r="U65" s="7"/>
      <c r="V65" s="7"/>
      <c r="W65" s="7"/>
      <c r="X65" s="7"/>
      <c r="Y65" s="7"/>
      <c r="Z65" s="7"/>
    </row>
    <row r="66" ht="13.5" customHeight="1">
      <c r="A66" s="1"/>
      <c r="B66" s="1"/>
      <c r="C66" s="1"/>
      <c r="D66" s="1"/>
      <c r="E66" s="1"/>
      <c r="F66" s="1"/>
      <c r="G66" s="1"/>
      <c r="H66" s="1"/>
      <c r="I66" s="7"/>
      <c r="J66" s="7"/>
      <c r="K66" s="7"/>
      <c r="L66" s="7"/>
      <c r="M66" s="7"/>
      <c r="N66" s="7"/>
      <c r="O66" s="7"/>
      <c r="P66" s="7"/>
      <c r="Q66" s="7"/>
      <c r="R66" s="7"/>
      <c r="S66" s="7"/>
      <c r="T66" s="7"/>
      <c r="U66" s="7"/>
      <c r="V66" s="7"/>
      <c r="W66" s="7"/>
      <c r="X66" s="7"/>
      <c r="Y66" s="7"/>
      <c r="Z66" s="7"/>
    </row>
    <row r="67" ht="13.5" customHeight="1">
      <c r="A67" s="1"/>
      <c r="B67" s="1"/>
      <c r="C67" s="1"/>
      <c r="D67" s="1"/>
      <c r="E67" s="1"/>
      <c r="F67" s="1"/>
      <c r="G67" s="1"/>
      <c r="H67" s="1"/>
      <c r="I67" s="7"/>
      <c r="J67" s="7"/>
      <c r="K67" s="7"/>
      <c r="L67" s="7"/>
      <c r="M67" s="7"/>
      <c r="N67" s="7"/>
      <c r="O67" s="7"/>
      <c r="P67" s="7"/>
      <c r="Q67" s="7"/>
      <c r="R67" s="7"/>
      <c r="S67" s="7"/>
      <c r="T67" s="7"/>
      <c r="U67" s="7"/>
      <c r="V67" s="7"/>
      <c r="W67" s="7"/>
      <c r="X67" s="7"/>
      <c r="Y67" s="7"/>
      <c r="Z67" s="7"/>
    </row>
    <row r="68" ht="13.5" customHeight="1">
      <c r="A68" s="1"/>
      <c r="B68" s="1"/>
      <c r="C68" s="1"/>
      <c r="D68" s="1"/>
      <c r="E68" s="1"/>
      <c r="F68" s="1"/>
      <c r="G68" s="1"/>
      <c r="H68" s="1"/>
      <c r="I68" s="7"/>
      <c r="J68" s="7"/>
      <c r="K68" s="7"/>
      <c r="L68" s="7"/>
      <c r="M68" s="7"/>
      <c r="N68" s="7"/>
      <c r="O68" s="7"/>
      <c r="P68" s="7"/>
      <c r="Q68" s="7"/>
      <c r="R68" s="7"/>
      <c r="S68" s="7"/>
      <c r="T68" s="7"/>
      <c r="U68" s="7"/>
      <c r="V68" s="7"/>
      <c r="W68" s="7"/>
      <c r="X68" s="7"/>
      <c r="Y68" s="7"/>
      <c r="Z68" s="7"/>
    </row>
    <row r="69" ht="13.5" customHeight="1">
      <c r="A69" s="1"/>
      <c r="B69" s="1"/>
      <c r="C69" s="1"/>
      <c r="D69" s="1"/>
      <c r="E69" s="1"/>
      <c r="F69" s="1"/>
      <c r="G69" s="1"/>
      <c r="H69" s="1"/>
      <c r="I69" s="7"/>
      <c r="J69" s="7"/>
      <c r="K69" s="7"/>
      <c r="L69" s="7"/>
      <c r="M69" s="7"/>
      <c r="N69" s="7"/>
      <c r="O69" s="7"/>
      <c r="P69" s="7"/>
      <c r="Q69" s="7"/>
      <c r="R69" s="7"/>
      <c r="S69" s="7"/>
      <c r="T69" s="7"/>
      <c r="U69" s="7"/>
      <c r="V69" s="7"/>
      <c r="W69" s="7"/>
      <c r="X69" s="7"/>
      <c r="Y69" s="7"/>
      <c r="Z69" s="7"/>
    </row>
    <row r="70" ht="13.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3.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3.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3.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3.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3.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3.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3.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3.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3.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3.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3.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3.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3.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3.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3.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3.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3.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3.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3.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3.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3.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3.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3.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3.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3.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3.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3.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3.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3.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3.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3.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3.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3.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3.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3.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3.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3.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3.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3.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3.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3.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3.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3.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3.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3.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3.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3.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3.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3.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3.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3.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3.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3.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3.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3.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3.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3.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3.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3.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3.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3.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3.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3.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3.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3.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3.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3.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3.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3.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3.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3.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3.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3.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3.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3.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3.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3.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3.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3.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3.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3.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3.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3.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3.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3.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3.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3.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3.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3.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3.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3.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3.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3.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3.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3.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3.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3.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3.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3.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3.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3.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3.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3.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3.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3.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3.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3.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3.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3.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3.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3.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3.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3.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3.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3.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3.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3.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3.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3.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3.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3.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3.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3.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3.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3.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3.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3.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3.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3.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3.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3.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3.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3.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3.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3.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3.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3.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3.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3.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3.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3.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3.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3.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3.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3.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3.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3.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3.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3.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3.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3.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3.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3.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3.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3.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3.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3.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3.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3.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3.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3.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3.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3.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3.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3.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3.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3.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3.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3.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3.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3.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3.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3.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3.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3.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3.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3.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3.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3.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3.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3.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3.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3.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3.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3.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3.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3.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3.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3.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3.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3.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3.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3.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3.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3.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3.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3.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3.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3.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3.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3.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3.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3.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3.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3.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3.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3.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3.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3.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3.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3.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3.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3.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3.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3.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3.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3.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3.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3.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3.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3.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3.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3.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3.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3.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3.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3.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3.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3.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3.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3.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3.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3.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3.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3.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3.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3.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3.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3.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3.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3.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3.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3.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3.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3.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3.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3.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3.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3.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3.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3.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3.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3.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3.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3.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3.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3.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3.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3.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3.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3.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3.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3.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3.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3.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3.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3.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3.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3.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3.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3.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3.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3.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3.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3.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3.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3.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3.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3.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3.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3.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3.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3.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3.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3.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3.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3.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3.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3.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3.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3.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3.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3.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3.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3.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3.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3.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3.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3.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3.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3.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3.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3.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3.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3.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3.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3.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3.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3.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3.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3.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3.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3.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3.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3.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3.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3.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3.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3.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3.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3.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3.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3.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3.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3.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3.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3.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3.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3.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3.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3.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3.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3.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3.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3.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3.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3.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3.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3.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3.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3.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3.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3.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3.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3.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3.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3.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3.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3.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3.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3.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3.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3.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3.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3.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3.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3.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3.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3.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3.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3.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3.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3.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3.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3.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3.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3.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3.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3.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3.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3.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3.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3.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3.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3.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3.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3.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3.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3.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3.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3.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3.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3.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3.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3.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3.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3.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3.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3.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3.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3.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3.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3.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3.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3.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3.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3.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3.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3.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3.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3.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3.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3.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3.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3.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3.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3.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3.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3.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3.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3.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3.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3.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3.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3.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3.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3.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3.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3.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3.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3.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3.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3.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3.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3.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3.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3.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3.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3.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3.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3.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3.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3.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3.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3.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3.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3.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3.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3.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3.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3.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3.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3.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3.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3.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3.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3.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3.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3.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3.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3.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3.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3.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3.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3.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3.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3.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3.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3.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3.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3.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3.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3.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3.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3.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3.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3.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3.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3.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3.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3.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3.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3.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3.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3.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3.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3.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3.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3.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3.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3.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3.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3.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3.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3.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3.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3.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3.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3.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3.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3.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3.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3.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3.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3.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3.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3.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3.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3.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3.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3.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3.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3.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3.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3.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3.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3.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3.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3.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3.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3.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3.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3.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3.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3.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3.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3.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3.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3.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3.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3.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3.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3.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3.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3.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3.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3.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3.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3.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3.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3.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3.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3.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3.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3.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3.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3.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3.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3.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3.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3.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3.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3.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3.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3.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3.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3.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3.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3.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3.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3.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3.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3.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3.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3.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3.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3.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3.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3.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3.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3.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3.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3.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3.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3.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3.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3.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3.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3.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3.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3.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3.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3.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3.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3.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3.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3.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3.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3.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3.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3.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3.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3.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3.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3.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3.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3.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3.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3.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3.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3.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3.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3.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3.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3.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3.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3.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3.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3.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3.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3.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3.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3.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3.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3.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3.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3.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3.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3.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3.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3.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3.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3.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3.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3.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3.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3.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3.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3.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3.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3.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3.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3.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3.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3.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3.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3.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3.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3.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3.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3.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3.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3.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3.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3.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3.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3.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3.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3.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3.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3.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3.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3.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3.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3.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3.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3.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3.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3.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3.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3.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3.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3.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3.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3.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3.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3.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3.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3.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3.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3.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3.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3.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3.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3.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3.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3.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3.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3.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3.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3.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3.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3.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3.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3.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3.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3.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3.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3.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3.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3.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3.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3.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3.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3.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3.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3.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3.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3.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3.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3.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3.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3.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3.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3.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3.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3.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3.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3.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3.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3.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3.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3.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3.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3.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3.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3.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3.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3.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3.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3.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3.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3.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3.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3.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3.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3.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3.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3.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3.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3.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3.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3.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3.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3.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3.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3.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3.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3.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3.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3.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3.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3.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3.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3.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3.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3.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3.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3.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3.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3.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3.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3.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3.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3.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3.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3.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3.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3.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3.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3.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3.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3.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3.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3.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3.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3.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3.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3.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3.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3.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3.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3.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3.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3.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3.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3.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3.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3.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3.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3.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3.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3.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3.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3.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3.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3.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3.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3.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3.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3.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3.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3.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3.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3.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3.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3.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3.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3.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3.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3.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3.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3.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3.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3.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3.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3.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3.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3.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3.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3.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3.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3.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3.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3.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3.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3.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3.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3.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3.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3.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3.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3.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3.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3.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3.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3.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3.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3.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3.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3.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3.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3.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3.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3.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3.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3.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3.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3.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3.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3.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3.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3.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3.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3.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3.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3.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3.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3.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3.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3.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3.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3.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3.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3.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3.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3.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3.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3.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3.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3.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3.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3.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3.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3.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3.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3.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3.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3.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3.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3.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3.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3.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3.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3.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3.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3.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3.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3.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3.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3.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3.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3.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3.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3.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3.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3.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3.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3.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3.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3.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3.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3.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3.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3.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3.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3.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3.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3.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3.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3.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3.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3.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3.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3.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3.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3.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3.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3.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3.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3.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3.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3.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3.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3.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3.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3.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3.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3.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3.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3.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3.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3.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3.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3.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3.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3.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3.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3.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3.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3.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3.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3.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3.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3.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3.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3.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3.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3.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3.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7">
    <mergeCell ref="B1:H1"/>
    <mergeCell ref="B2:H2"/>
    <mergeCell ref="B4:H4"/>
    <mergeCell ref="B8:D8"/>
    <mergeCell ref="E8:H8"/>
    <mergeCell ref="C9:D9"/>
    <mergeCell ref="C10:D10"/>
    <mergeCell ref="C43:D43"/>
    <mergeCell ref="C44:D44"/>
    <mergeCell ref="C45:D45"/>
    <mergeCell ref="C11:D11"/>
    <mergeCell ref="B18:H18"/>
    <mergeCell ref="B30:H30"/>
    <mergeCell ref="B35:E35"/>
    <mergeCell ref="B40:D40"/>
    <mergeCell ref="C41:D41"/>
    <mergeCell ref="C42:D4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8.0"/>
    <col customWidth="1" min="2" max="2" width="20.0"/>
    <col customWidth="1" min="3" max="3" width="62.0"/>
    <col customWidth="1" min="4" max="4" width="30.0"/>
    <col customWidth="1" min="5" max="5" width="42.0"/>
    <col customWidth="1" min="6" max="6" width="12.0"/>
    <col customWidth="1" min="7" max="26" width="8.71"/>
  </cols>
  <sheetData>
    <row r="1" ht="25.5" customHeight="1">
      <c r="A1" s="3" t="s">
        <v>1</v>
      </c>
      <c r="B1" s="6"/>
      <c r="C1" s="6"/>
      <c r="D1" s="6"/>
      <c r="E1" s="6"/>
      <c r="F1" s="8"/>
    </row>
    <row r="2" ht="30.0" customHeight="1">
      <c r="A2" s="9" t="s">
        <v>5</v>
      </c>
      <c r="B2" s="9" t="s">
        <v>6</v>
      </c>
      <c r="C2" s="9" t="s">
        <v>7</v>
      </c>
      <c r="D2" s="9" t="s">
        <v>9</v>
      </c>
      <c r="E2" s="9" t="s">
        <v>10</v>
      </c>
      <c r="F2" s="9" t="s">
        <v>11</v>
      </c>
    </row>
    <row r="3" ht="43.5" customHeight="1">
      <c r="A3" s="11" t="s">
        <v>14</v>
      </c>
      <c r="B3" s="7" t="s">
        <v>18</v>
      </c>
      <c r="C3" s="11" t="s">
        <v>19</v>
      </c>
      <c r="D3" s="11" t="s">
        <v>24</v>
      </c>
      <c r="E3" s="11" t="s">
        <v>27</v>
      </c>
      <c r="F3" s="13" t="s">
        <v>29</v>
      </c>
    </row>
    <row r="4" ht="43.5" customHeight="1">
      <c r="A4" s="11" t="s">
        <v>31</v>
      </c>
      <c r="B4" s="7" t="s">
        <v>32</v>
      </c>
      <c r="C4" s="11" t="s">
        <v>35</v>
      </c>
      <c r="D4" s="11" t="s">
        <v>39</v>
      </c>
      <c r="E4" s="11" t="s">
        <v>41</v>
      </c>
      <c r="F4" s="13" t="s">
        <v>29</v>
      </c>
    </row>
    <row r="5" ht="43.5" customHeight="1">
      <c r="A5" s="11" t="s">
        <v>43</v>
      </c>
      <c r="B5" s="7" t="s">
        <v>45</v>
      </c>
      <c r="C5" s="11" t="s">
        <v>46</v>
      </c>
      <c r="D5" s="11" t="s">
        <v>24</v>
      </c>
      <c r="E5" s="11" t="s">
        <v>48</v>
      </c>
      <c r="F5" s="13" t="s">
        <v>29</v>
      </c>
    </row>
    <row r="6" ht="43.5" customHeight="1">
      <c r="A6" s="11" t="s">
        <v>50</v>
      </c>
      <c r="B6" s="7" t="s">
        <v>51</v>
      </c>
      <c r="C6" s="11" t="s">
        <v>52</v>
      </c>
      <c r="D6" s="11" t="s">
        <v>39</v>
      </c>
      <c r="E6" s="11" t="s">
        <v>54</v>
      </c>
      <c r="F6" s="13" t="s">
        <v>29</v>
      </c>
    </row>
    <row r="7" ht="43.5" customHeight="1">
      <c r="A7" s="11" t="s">
        <v>56</v>
      </c>
      <c r="B7" s="7" t="s">
        <v>57</v>
      </c>
      <c r="C7" s="11" t="s">
        <v>58</v>
      </c>
      <c r="D7" s="11" t="s">
        <v>60</v>
      </c>
      <c r="E7" s="11" t="s">
        <v>61</v>
      </c>
      <c r="F7" s="18" t="s">
        <v>63</v>
      </c>
    </row>
    <row r="8" ht="43.5" customHeight="1">
      <c r="A8" s="11" t="s">
        <v>65</v>
      </c>
      <c r="B8" s="7" t="s">
        <v>67</v>
      </c>
      <c r="C8" s="11" t="s">
        <v>69</v>
      </c>
      <c r="D8" s="11" t="s">
        <v>70</v>
      </c>
      <c r="E8" s="11" t="s">
        <v>71</v>
      </c>
      <c r="F8" s="18" t="s">
        <v>63</v>
      </c>
    </row>
    <row r="9" ht="43.5" customHeight="1">
      <c r="A9" s="11" t="s">
        <v>72</v>
      </c>
      <c r="B9" s="7" t="s">
        <v>74</v>
      </c>
      <c r="C9" s="11" t="s">
        <v>75</v>
      </c>
      <c r="D9" s="11" t="s">
        <v>70</v>
      </c>
      <c r="E9" s="11" t="s">
        <v>77</v>
      </c>
      <c r="F9" s="18" t="s">
        <v>63</v>
      </c>
    </row>
    <row r="10" ht="43.5" customHeight="1">
      <c r="A10" s="11" t="s">
        <v>80</v>
      </c>
      <c r="B10" s="7" t="s">
        <v>81</v>
      </c>
      <c r="C10" s="11" t="s">
        <v>82</v>
      </c>
      <c r="D10" s="11" t="s">
        <v>60</v>
      </c>
      <c r="E10" s="11" t="s">
        <v>86</v>
      </c>
      <c r="F10" s="18" t="s">
        <v>63</v>
      </c>
    </row>
    <row r="11" ht="14.25" customHeight="1"/>
    <row r="12" ht="14.25" customHeight="1">
      <c r="A12" s="21" t="s">
        <v>90</v>
      </c>
    </row>
    <row r="13" ht="21.75" customHeight="1">
      <c r="A13" s="22" t="s">
        <v>92</v>
      </c>
    </row>
    <row r="14" ht="21.75" customHeight="1">
      <c r="A14" s="22" t="s">
        <v>94</v>
      </c>
    </row>
    <row r="15" ht="21.75" customHeight="1">
      <c r="A15" s="22" t="s">
        <v>95</v>
      </c>
    </row>
    <row r="16" ht="21.75" customHeight="1">
      <c r="A16" s="22" t="s">
        <v>97</v>
      </c>
    </row>
    <row r="17" ht="21.75" customHeight="1">
      <c r="A17" s="22" t="s">
        <v>99</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1:F1"/>
    <mergeCell ref="A13:F13"/>
    <mergeCell ref="A14:F14"/>
    <mergeCell ref="A15:F15"/>
    <mergeCell ref="A16:F16"/>
    <mergeCell ref="A17:F17"/>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min="1" max="1" width="14.14"/>
    <col customWidth="1" min="2" max="2" width="12.86"/>
    <col customWidth="1" min="3" max="3" width="10.71"/>
    <col customWidth="1" min="4" max="4" width="17.14"/>
    <col customWidth="1" min="5" max="5" width="36.0"/>
    <col customWidth="1" min="6" max="6" width="8.29"/>
    <col customWidth="1" min="7" max="7" width="70.0"/>
    <col customWidth="1" min="8" max="8" width="44.86"/>
    <col customWidth="1" min="9" max="9" width="10.57"/>
    <col customWidth="1" min="10" max="10" width="8.71"/>
    <col customWidth="1" min="11" max="11" width="31.0"/>
    <col customWidth="1" min="12" max="12" width="15.43"/>
    <col customWidth="1" min="13" max="26" width="8.71"/>
  </cols>
  <sheetData>
    <row r="1">
      <c r="A1" s="2" t="s">
        <v>0</v>
      </c>
      <c r="B1" s="5"/>
      <c r="C1" s="5"/>
      <c r="D1" s="5"/>
      <c r="E1" s="3" t="s">
        <v>4</v>
      </c>
      <c r="F1" s="6"/>
      <c r="G1" s="6"/>
      <c r="H1" s="6"/>
      <c r="I1" s="6"/>
      <c r="J1" s="6"/>
      <c r="K1" s="6"/>
      <c r="L1" s="8"/>
    </row>
    <row r="2" ht="36.0" customHeight="1">
      <c r="A2" s="10" t="s">
        <v>8</v>
      </c>
      <c r="B2" s="10" t="s">
        <v>5</v>
      </c>
      <c r="C2" s="10" t="s">
        <v>11</v>
      </c>
      <c r="D2" s="10" t="s">
        <v>12</v>
      </c>
      <c r="E2" s="10" t="s">
        <v>13</v>
      </c>
      <c r="F2" s="10" t="s">
        <v>15</v>
      </c>
      <c r="G2" s="10" t="s">
        <v>16</v>
      </c>
      <c r="H2" s="10" t="s">
        <v>17</v>
      </c>
      <c r="I2" s="10" t="s">
        <v>21</v>
      </c>
      <c r="J2" s="10" t="s">
        <v>22</v>
      </c>
      <c r="K2" s="10" t="s">
        <v>23</v>
      </c>
      <c r="L2" s="10" t="s">
        <v>25</v>
      </c>
    </row>
    <row r="3" ht="14.25" customHeight="1">
      <c r="A3" s="11" t="s">
        <v>28</v>
      </c>
      <c r="B3" s="11" t="s">
        <v>14</v>
      </c>
      <c r="C3" s="13" t="s">
        <v>29</v>
      </c>
      <c r="D3" s="11" t="s">
        <v>30</v>
      </c>
      <c r="E3" s="11" t="s">
        <v>33</v>
      </c>
      <c r="F3" s="14" t="s">
        <v>36</v>
      </c>
      <c r="G3" s="11" t="s">
        <v>38</v>
      </c>
      <c r="H3" s="11" t="s">
        <v>40</v>
      </c>
      <c r="I3" s="15" t="s">
        <v>42</v>
      </c>
      <c r="J3" s="16">
        <v>3.0</v>
      </c>
      <c r="K3" s="11" t="s">
        <v>49</v>
      </c>
      <c r="L3" s="17" t="s">
        <v>53</v>
      </c>
    </row>
    <row r="4" ht="14.25" customHeight="1">
      <c r="A4" s="11" t="s">
        <v>55</v>
      </c>
      <c r="B4" s="11" t="s">
        <v>14</v>
      </c>
      <c r="C4" s="13" t="s">
        <v>29</v>
      </c>
      <c r="D4" s="11" t="s">
        <v>30</v>
      </c>
      <c r="E4" s="11" t="s">
        <v>59</v>
      </c>
      <c r="F4" s="14" t="s">
        <v>36</v>
      </c>
      <c r="G4" s="11" t="s">
        <v>62</v>
      </c>
      <c r="H4" s="11" t="s">
        <v>64</v>
      </c>
      <c r="I4" s="15" t="s">
        <v>42</v>
      </c>
      <c r="J4" s="16">
        <v>2.0</v>
      </c>
      <c r="K4" s="11" t="s">
        <v>66</v>
      </c>
      <c r="L4" s="17" t="s">
        <v>53</v>
      </c>
    </row>
    <row r="5" ht="14.25" customHeight="1">
      <c r="A5" s="11" t="s">
        <v>78</v>
      </c>
      <c r="B5" s="11" t="s">
        <v>14</v>
      </c>
      <c r="C5" s="13" t="s">
        <v>29</v>
      </c>
      <c r="D5" s="11" t="s">
        <v>83</v>
      </c>
      <c r="E5" s="11" t="s">
        <v>85</v>
      </c>
      <c r="F5" s="14" t="s">
        <v>36</v>
      </c>
      <c r="G5" s="11" t="s">
        <v>87</v>
      </c>
      <c r="H5" s="11" t="s">
        <v>89</v>
      </c>
      <c r="I5" s="15" t="s">
        <v>42</v>
      </c>
      <c r="J5" s="16">
        <v>5.0</v>
      </c>
      <c r="K5" s="11" t="s">
        <v>91</v>
      </c>
      <c r="L5" s="17" t="s">
        <v>53</v>
      </c>
    </row>
    <row r="6" ht="14.25" customHeight="1">
      <c r="A6" s="11" t="s">
        <v>93</v>
      </c>
      <c r="B6" s="11" t="s">
        <v>14</v>
      </c>
      <c r="C6" s="13" t="s">
        <v>29</v>
      </c>
      <c r="D6" s="11" t="s">
        <v>83</v>
      </c>
      <c r="E6" s="11" t="s">
        <v>98</v>
      </c>
      <c r="F6" s="14" t="s">
        <v>36</v>
      </c>
      <c r="G6" s="11" t="s">
        <v>100</v>
      </c>
      <c r="H6" s="11" t="s">
        <v>101</v>
      </c>
      <c r="I6" s="24" t="s">
        <v>102</v>
      </c>
      <c r="J6" s="16">
        <v>2.0</v>
      </c>
      <c r="K6" s="11" t="s">
        <v>104</v>
      </c>
      <c r="L6" s="17" t="s">
        <v>53</v>
      </c>
    </row>
    <row r="7" ht="14.25" customHeight="1">
      <c r="A7" s="11" t="s">
        <v>106</v>
      </c>
      <c r="B7" s="11" t="s">
        <v>14</v>
      </c>
      <c r="C7" s="13" t="s">
        <v>29</v>
      </c>
      <c r="D7" s="11" t="s">
        <v>108</v>
      </c>
      <c r="E7" s="11" t="s">
        <v>109</v>
      </c>
      <c r="F7" s="14" t="s">
        <v>36</v>
      </c>
      <c r="G7" s="11" t="s">
        <v>110</v>
      </c>
      <c r="H7" s="11" t="s">
        <v>111</v>
      </c>
      <c r="I7" s="15" t="s">
        <v>42</v>
      </c>
      <c r="J7" s="16">
        <v>4.0</v>
      </c>
      <c r="K7" s="11" t="s">
        <v>112</v>
      </c>
      <c r="L7" s="17" t="s">
        <v>53</v>
      </c>
    </row>
    <row r="8" ht="14.25" customHeight="1">
      <c r="A8" s="11" t="s">
        <v>113</v>
      </c>
      <c r="B8" s="11" t="s">
        <v>14</v>
      </c>
      <c r="C8" s="13" t="s">
        <v>29</v>
      </c>
      <c r="D8" s="11" t="s">
        <v>114</v>
      </c>
      <c r="E8" s="11" t="s">
        <v>115</v>
      </c>
      <c r="F8" s="14" t="s">
        <v>36</v>
      </c>
      <c r="G8" s="11" t="s">
        <v>116</v>
      </c>
      <c r="H8" s="11" t="s">
        <v>117</v>
      </c>
      <c r="I8" s="15" t="s">
        <v>42</v>
      </c>
      <c r="J8" s="16">
        <v>3.0</v>
      </c>
      <c r="K8" s="11" t="s">
        <v>118</v>
      </c>
      <c r="L8" s="17" t="s">
        <v>53</v>
      </c>
    </row>
    <row r="9" ht="14.25" customHeight="1">
      <c r="A9" s="11" t="s">
        <v>119</v>
      </c>
      <c r="B9" s="11" t="s">
        <v>14</v>
      </c>
      <c r="C9" s="13" t="s">
        <v>29</v>
      </c>
      <c r="D9" s="11" t="s">
        <v>114</v>
      </c>
      <c r="E9" s="11" t="s">
        <v>120</v>
      </c>
      <c r="F9" s="14" t="s">
        <v>36</v>
      </c>
      <c r="G9" s="11" t="s">
        <v>121</v>
      </c>
      <c r="H9" s="11" t="s">
        <v>122</v>
      </c>
      <c r="I9" s="15" t="s">
        <v>42</v>
      </c>
      <c r="J9" s="16">
        <v>3.0</v>
      </c>
      <c r="K9" s="11" t="s">
        <v>123</v>
      </c>
      <c r="L9" s="17" t="s">
        <v>53</v>
      </c>
    </row>
    <row r="10" ht="14.25" customHeight="1">
      <c r="A10" s="11" t="s">
        <v>124</v>
      </c>
      <c r="B10" s="11" t="s">
        <v>14</v>
      </c>
      <c r="C10" s="13" t="s">
        <v>29</v>
      </c>
      <c r="D10" s="11" t="s">
        <v>125</v>
      </c>
      <c r="E10" s="11" t="s">
        <v>126</v>
      </c>
      <c r="F10" s="25" t="s">
        <v>127</v>
      </c>
      <c r="G10" s="11" t="s">
        <v>128</v>
      </c>
      <c r="H10" s="11" t="s">
        <v>129</v>
      </c>
      <c r="I10" s="15" t="s">
        <v>42</v>
      </c>
      <c r="J10" s="16">
        <v>3.0</v>
      </c>
      <c r="K10" s="11" t="s">
        <v>130</v>
      </c>
      <c r="L10" s="17" t="s">
        <v>53</v>
      </c>
    </row>
    <row r="11" ht="14.25" customHeight="1">
      <c r="A11" s="11" t="s">
        <v>131</v>
      </c>
      <c r="B11" s="11" t="s">
        <v>14</v>
      </c>
      <c r="C11" s="13" t="s">
        <v>29</v>
      </c>
      <c r="D11" s="11" t="s">
        <v>125</v>
      </c>
      <c r="E11" s="11" t="s">
        <v>132</v>
      </c>
      <c r="F11" s="25" t="s">
        <v>127</v>
      </c>
      <c r="G11" s="11" t="s">
        <v>133</v>
      </c>
      <c r="H11" s="11" t="s">
        <v>134</v>
      </c>
      <c r="I11" s="15" t="s">
        <v>42</v>
      </c>
      <c r="J11" s="16">
        <v>3.0</v>
      </c>
      <c r="K11" s="11" t="s">
        <v>135</v>
      </c>
      <c r="L11" s="17" t="s">
        <v>53</v>
      </c>
    </row>
    <row r="12" ht="14.25" customHeight="1">
      <c r="A12" s="11" t="s">
        <v>136</v>
      </c>
      <c r="B12" s="11" t="s">
        <v>14</v>
      </c>
      <c r="C12" s="13" t="s">
        <v>29</v>
      </c>
      <c r="D12" s="11" t="s">
        <v>125</v>
      </c>
      <c r="E12" s="11" t="s">
        <v>137</v>
      </c>
      <c r="F12" s="25" t="s">
        <v>127</v>
      </c>
      <c r="G12" s="11" t="s">
        <v>138</v>
      </c>
      <c r="H12" s="11" t="s">
        <v>139</v>
      </c>
      <c r="I12" s="24" t="s">
        <v>102</v>
      </c>
      <c r="J12" s="16">
        <v>3.0</v>
      </c>
      <c r="K12" s="11" t="s">
        <v>140</v>
      </c>
      <c r="L12" s="17" t="s">
        <v>53</v>
      </c>
    </row>
    <row r="13" ht="14.25" customHeight="1">
      <c r="A13" s="11" t="s">
        <v>141</v>
      </c>
      <c r="B13" s="11" t="s">
        <v>14</v>
      </c>
      <c r="C13" s="13" t="s">
        <v>29</v>
      </c>
      <c r="D13" s="11" t="s">
        <v>125</v>
      </c>
      <c r="E13" s="11" t="s">
        <v>142</v>
      </c>
      <c r="F13" s="25" t="s">
        <v>127</v>
      </c>
      <c r="G13" s="11" t="s">
        <v>143</v>
      </c>
      <c r="H13" s="11" t="s">
        <v>144</v>
      </c>
      <c r="I13" s="15" t="s">
        <v>42</v>
      </c>
      <c r="J13" s="16">
        <v>2.0</v>
      </c>
      <c r="K13" s="11" t="s">
        <v>145</v>
      </c>
      <c r="L13" s="17" t="s">
        <v>53</v>
      </c>
    </row>
    <row r="14" ht="14.25" customHeight="1">
      <c r="A14" s="11" t="s">
        <v>146</v>
      </c>
      <c r="B14" s="11" t="s">
        <v>14</v>
      </c>
      <c r="C14" s="13" t="s">
        <v>29</v>
      </c>
      <c r="D14" s="11" t="s">
        <v>147</v>
      </c>
      <c r="E14" s="11" t="s">
        <v>148</v>
      </c>
      <c r="F14" s="25" t="s">
        <v>127</v>
      </c>
      <c r="G14" s="11" t="s">
        <v>149</v>
      </c>
      <c r="H14" s="11" t="s">
        <v>150</v>
      </c>
      <c r="I14" s="15" t="s">
        <v>42</v>
      </c>
      <c r="J14" s="16">
        <v>3.0</v>
      </c>
      <c r="K14" s="11" t="s">
        <v>151</v>
      </c>
      <c r="L14" s="17" t="s">
        <v>53</v>
      </c>
    </row>
    <row r="15" ht="14.25" customHeight="1">
      <c r="A15" s="11" t="s">
        <v>152</v>
      </c>
      <c r="B15" s="11" t="s">
        <v>14</v>
      </c>
      <c r="C15" s="13" t="s">
        <v>29</v>
      </c>
      <c r="D15" s="11" t="s">
        <v>153</v>
      </c>
      <c r="E15" s="11" t="s">
        <v>154</v>
      </c>
      <c r="F15" s="25" t="s">
        <v>127</v>
      </c>
      <c r="G15" s="11" t="s">
        <v>155</v>
      </c>
      <c r="H15" s="11" t="s">
        <v>156</v>
      </c>
      <c r="I15" s="24" t="s">
        <v>102</v>
      </c>
      <c r="J15" s="16">
        <v>4.0</v>
      </c>
      <c r="K15" s="11" t="s">
        <v>157</v>
      </c>
      <c r="L15" s="17" t="s">
        <v>53</v>
      </c>
    </row>
    <row r="16" ht="14.25" customHeight="1">
      <c r="A16" s="11" t="s">
        <v>158</v>
      </c>
      <c r="B16" s="11" t="s">
        <v>14</v>
      </c>
      <c r="C16" s="13" t="s">
        <v>29</v>
      </c>
      <c r="D16" s="11" t="s">
        <v>159</v>
      </c>
      <c r="E16" s="11" t="s">
        <v>160</v>
      </c>
      <c r="F16" s="25" t="s">
        <v>127</v>
      </c>
      <c r="G16" s="11" t="s">
        <v>161</v>
      </c>
      <c r="H16" s="11" t="s">
        <v>162</v>
      </c>
      <c r="I16" s="24" t="s">
        <v>102</v>
      </c>
      <c r="J16" s="16">
        <v>4.0</v>
      </c>
      <c r="K16" s="11" t="s">
        <v>163</v>
      </c>
      <c r="L16" s="17" t="s">
        <v>53</v>
      </c>
    </row>
    <row r="17" ht="14.25" customHeight="1">
      <c r="A17" s="11" t="s">
        <v>164</v>
      </c>
      <c r="B17" s="11" t="s">
        <v>14</v>
      </c>
      <c r="C17" s="13" t="s">
        <v>29</v>
      </c>
      <c r="D17" s="11" t="s">
        <v>159</v>
      </c>
      <c r="E17" s="11" t="s">
        <v>165</v>
      </c>
      <c r="F17" s="25" t="s">
        <v>127</v>
      </c>
      <c r="G17" s="11" t="s">
        <v>166</v>
      </c>
      <c r="H17" s="11" t="s">
        <v>167</v>
      </c>
      <c r="I17" s="24" t="s">
        <v>102</v>
      </c>
      <c r="J17" s="16">
        <v>3.0</v>
      </c>
      <c r="K17" s="11" t="s">
        <v>168</v>
      </c>
      <c r="L17" s="17" t="s">
        <v>53</v>
      </c>
    </row>
    <row r="18" ht="14.25" customHeight="1">
      <c r="A18" s="11" t="s">
        <v>169</v>
      </c>
      <c r="B18" s="11" t="s">
        <v>14</v>
      </c>
      <c r="C18" s="13" t="s">
        <v>29</v>
      </c>
      <c r="D18" s="11" t="s">
        <v>170</v>
      </c>
      <c r="E18" s="11" t="s">
        <v>172</v>
      </c>
      <c r="F18" s="27" t="s">
        <v>170</v>
      </c>
      <c r="G18" s="11" t="s">
        <v>174</v>
      </c>
      <c r="H18" s="11" t="s">
        <v>175</v>
      </c>
      <c r="I18" s="24" t="s">
        <v>102</v>
      </c>
      <c r="J18" s="16">
        <v>4.0</v>
      </c>
      <c r="K18" s="11" t="s">
        <v>176</v>
      </c>
      <c r="L18" s="17" t="s">
        <v>53</v>
      </c>
    </row>
    <row r="19" ht="14.25" customHeight="1">
      <c r="A19" s="11" t="s">
        <v>177</v>
      </c>
      <c r="B19" s="11" t="s">
        <v>31</v>
      </c>
      <c r="C19" s="13" t="s">
        <v>29</v>
      </c>
      <c r="D19" s="11" t="s">
        <v>178</v>
      </c>
      <c r="E19" s="11" t="s">
        <v>179</v>
      </c>
      <c r="F19" s="14" t="s">
        <v>36</v>
      </c>
      <c r="G19" s="11" t="s">
        <v>180</v>
      </c>
      <c r="H19" s="11" t="s">
        <v>181</v>
      </c>
      <c r="I19" s="15" t="s">
        <v>42</v>
      </c>
      <c r="J19" s="16">
        <v>4.0</v>
      </c>
      <c r="K19" s="11" t="s">
        <v>183</v>
      </c>
      <c r="L19" s="17" t="s">
        <v>53</v>
      </c>
    </row>
    <row r="20" ht="14.25" customHeight="1">
      <c r="A20" s="11" t="s">
        <v>184</v>
      </c>
      <c r="B20" s="11" t="s">
        <v>31</v>
      </c>
      <c r="C20" s="13" t="s">
        <v>29</v>
      </c>
      <c r="D20" s="11" t="s">
        <v>185</v>
      </c>
      <c r="E20" s="11" t="s">
        <v>186</v>
      </c>
      <c r="F20" s="14" t="s">
        <v>36</v>
      </c>
      <c r="G20" s="11" t="s">
        <v>187</v>
      </c>
      <c r="H20" s="11" t="s">
        <v>188</v>
      </c>
      <c r="I20" s="15" t="s">
        <v>42</v>
      </c>
      <c r="J20" s="16">
        <v>3.0</v>
      </c>
      <c r="K20" s="11" t="s">
        <v>189</v>
      </c>
      <c r="L20" s="17" t="s">
        <v>53</v>
      </c>
    </row>
    <row r="21" ht="14.25" customHeight="1">
      <c r="A21" s="11" t="s">
        <v>190</v>
      </c>
      <c r="B21" s="11" t="s">
        <v>31</v>
      </c>
      <c r="C21" s="13" t="s">
        <v>29</v>
      </c>
      <c r="D21" s="11" t="s">
        <v>185</v>
      </c>
      <c r="E21" s="11" t="s">
        <v>192</v>
      </c>
      <c r="F21" s="14" t="s">
        <v>36</v>
      </c>
      <c r="G21" s="11" t="s">
        <v>195</v>
      </c>
      <c r="H21" s="11" t="s">
        <v>198</v>
      </c>
      <c r="I21" s="15" t="s">
        <v>42</v>
      </c>
      <c r="J21" s="16">
        <v>3.0</v>
      </c>
      <c r="K21" s="11" t="s">
        <v>201</v>
      </c>
      <c r="L21" s="17" t="s">
        <v>53</v>
      </c>
    </row>
    <row r="22" ht="14.25" customHeight="1">
      <c r="A22" s="11" t="s">
        <v>204</v>
      </c>
      <c r="B22" s="11" t="s">
        <v>31</v>
      </c>
      <c r="C22" s="13" t="s">
        <v>29</v>
      </c>
      <c r="D22" s="11" t="s">
        <v>205</v>
      </c>
      <c r="E22" s="11" t="s">
        <v>207</v>
      </c>
      <c r="F22" s="14" t="s">
        <v>36</v>
      </c>
      <c r="G22" s="11" t="s">
        <v>208</v>
      </c>
      <c r="H22" s="11" t="s">
        <v>211</v>
      </c>
      <c r="I22" s="15" t="s">
        <v>42</v>
      </c>
      <c r="J22" s="16">
        <v>6.0</v>
      </c>
      <c r="K22" s="11" t="s">
        <v>189</v>
      </c>
      <c r="L22" s="17" t="s">
        <v>53</v>
      </c>
    </row>
    <row r="23" ht="14.25" customHeight="1">
      <c r="A23" s="11" t="s">
        <v>213</v>
      </c>
      <c r="B23" s="11" t="s">
        <v>31</v>
      </c>
      <c r="C23" s="13" t="s">
        <v>29</v>
      </c>
      <c r="D23" s="11" t="s">
        <v>205</v>
      </c>
      <c r="E23" s="11" t="s">
        <v>215</v>
      </c>
      <c r="F23" s="14" t="s">
        <v>36</v>
      </c>
      <c r="G23" s="11" t="s">
        <v>216</v>
      </c>
      <c r="H23" s="11" t="s">
        <v>217</v>
      </c>
      <c r="I23" s="24" t="s">
        <v>102</v>
      </c>
      <c r="J23" s="16">
        <v>2.0</v>
      </c>
      <c r="K23" s="11" t="s">
        <v>218</v>
      </c>
      <c r="L23" s="17" t="s">
        <v>53</v>
      </c>
    </row>
    <row r="24" ht="14.25" customHeight="1">
      <c r="A24" s="11" t="s">
        <v>219</v>
      </c>
      <c r="B24" s="11" t="s">
        <v>31</v>
      </c>
      <c r="C24" s="13" t="s">
        <v>29</v>
      </c>
      <c r="D24" s="11" t="s">
        <v>220</v>
      </c>
      <c r="E24" s="11" t="s">
        <v>221</v>
      </c>
      <c r="F24" s="14" t="s">
        <v>36</v>
      </c>
      <c r="G24" s="11" t="s">
        <v>223</v>
      </c>
      <c r="H24" s="11" t="s">
        <v>224</v>
      </c>
      <c r="I24" s="15" t="s">
        <v>42</v>
      </c>
      <c r="J24" s="16">
        <v>5.0</v>
      </c>
      <c r="K24" s="11" t="s">
        <v>226</v>
      </c>
      <c r="L24" s="17" t="s">
        <v>53</v>
      </c>
    </row>
    <row r="25" ht="14.25" customHeight="1">
      <c r="A25" s="11" t="s">
        <v>228</v>
      </c>
      <c r="B25" s="11" t="s">
        <v>31</v>
      </c>
      <c r="C25" s="13" t="s">
        <v>29</v>
      </c>
      <c r="D25" s="11" t="s">
        <v>220</v>
      </c>
      <c r="E25" s="11" t="s">
        <v>231</v>
      </c>
      <c r="F25" s="14" t="s">
        <v>36</v>
      </c>
      <c r="G25" s="11" t="s">
        <v>232</v>
      </c>
      <c r="H25" s="11" t="s">
        <v>234</v>
      </c>
      <c r="I25" s="15" t="s">
        <v>42</v>
      </c>
      <c r="J25" s="16">
        <v>5.0</v>
      </c>
      <c r="K25" s="11" t="s">
        <v>236</v>
      </c>
      <c r="L25" s="17" t="s">
        <v>53</v>
      </c>
    </row>
    <row r="26" ht="14.25" customHeight="1">
      <c r="A26" s="11" t="s">
        <v>238</v>
      </c>
      <c r="B26" s="11" t="s">
        <v>31</v>
      </c>
      <c r="C26" s="13" t="s">
        <v>29</v>
      </c>
      <c r="D26" s="11" t="s">
        <v>220</v>
      </c>
      <c r="E26" s="11" t="s">
        <v>240</v>
      </c>
      <c r="F26" s="14" t="s">
        <v>36</v>
      </c>
      <c r="G26" s="11" t="s">
        <v>241</v>
      </c>
      <c r="H26" s="11" t="s">
        <v>243</v>
      </c>
      <c r="I26" s="15" t="s">
        <v>42</v>
      </c>
      <c r="J26" s="16">
        <v>4.0</v>
      </c>
      <c r="K26" s="11" t="s">
        <v>245</v>
      </c>
      <c r="L26" s="17" t="s">
        <v>53</v>
      </c>
    </row>
    <row r="27" ht="14.25" customHeight="1">
      <c r="A27" s="11" t="s">
        <v>246</v>
      </c>
      <c r="B27" s="11" t="s">
        <v>31</v>
      </c>
      <c r="C27" s="13" t="s">
        <v>29</v>
      </c>
      <c r="D27" s="11" t="s">
        <v>247</v>
      </c>
      <c r="E27" s="11" t="s">
        <v>248</v>
      </c>
      <c r="F27" s="14" t="s">
        <v>36</v>
      </c>
      <c r="G27" s="11" t="s">
        <v>250</v>
      </c>
      <c r="H27" s="11" t="s">
        <v>251</v>
      </c>
      <c r="I27" s="15" t="s">
        <v>42</v>
      </c>
      <c r="J27" s="16">
        <v>4.0</v>
      </c>
      <c r="K27" s="11" t="s">
        <v>253</v>
      </c>
      <c r="L27" s="17" t="s">
        <v>53</v>
      </c>
    </row>
    <row r="28" ht="14.25" customHeight="1">
      <c r="A28" s="11" t="s">
        <v>254</v>
      </c>
      <c r="B28" s="11" t="s">
        <v>31</v>
      </c>
      <c r="C28" s="13" t="s">
        <v>29</v>
      </c>
      <c r="D28" s="11" t="s">
        <v>247</v>
      </c>
      <c r="E28" s="11" t="s">
        <v>257</v>
      </c>
      <c r="F28" s="14" t="s">
        <v>36</v>
      </c>
      <c r="G28" s="11" t="s">
        <v>258</v>
      </c>
      <c r="H28" s="11" t="s">
        <v>260</v>
      </c>
      <c r="I28" s="24" t="s">
        <v>102</v>
      </c>
      <c r="J28" s="16">
        <v>2.0</v>
      </c>
      <c r="K28" s="11" t="s">
        <v>261</v>
      </c>
      <c r="L28" s="17" t="s">
        <v>53</v>
      </c>
    </row>
    <row r="29" ht="14.25" customHeight="1">
      <c r="A29" s="11" t="s">
        <v>263</v>
      </c>
      <c r="B29" s="11" t="s">
        <v>31</v>
      </c>
      <c r="C29" s="13" t="s">
        <v>29</v>
      </c>
      <c r="D29" s="11" t="s">
        <v>266</v>
      </c>
      <c r="E29" s="11" t="s">
        <v>267</v>
      </c>
      <c r="F29" s="25" t="s">
        <v>127</v>
      </c>
      <c r="G29" s="11" t="s">
        <v>269</v>
      </c>
      <c r="H29" s="11" t="s">
        <v>270</v>
      </c>
      <c r="I29" s="15" t="s">
        <v>42</v>
      </c>
      <c r="J29" s="16">
        <v>4.0</v>
      </c>
      <c r="K29" s="11" t="s">
        <v>272</v>
      </c>
      <c r="L29" s="17" t="s">
        <v>53</v>
      </c>
    </row>
    <row r="30" ht="14.25" customHeight="1">
      <c r="A30" s="11" t="s">
        <v>274</v>
      </c>
      <c r="B30" s="11" t="s">
        <v>31</v>
      </c>
      <c r="C30" s="13" t="s">
        <v>29</v>
      </c>
      <c r="D30" s="11" t="s">
        <v>266</v>
      </c>
      <c r="E30" s="11" t="s">
        <v>276</v>
      </c>
      <c r="F30" s="25" t="s">
        <v>127</v>
      </c>
      <c r="G30" s="11" t="s">
        <v>279</v>
      </c>
      <c r="H30" s="11" t="s">
        <v>280</v>
      </c>
      <c r="I30" s="15" t="s">
        <v>42</v>
      </c>
      <c r="J30" s="16">
        <v>4.0</v>
      </c>
      <c r="K30" s="11" t="s">
        <v>282</v>
      </c>
      <c r="L30" s="17" t="s">
        <v>53</v>
      </c>
    </row>
    <row r="31" ht="14.25" customHeight="1">
      <c r="A31" s="11" t="s">
        <v>284</v>
      </c>
      <c r="B31" s="11" t="s">
        <v>31</v>
      </c>
      <c r="C31" s="13" t="s">
        <v>29</v>
      </c>
      <c r="D31" s="11" t="s">
        <v>266</v>
      </c>
      <c r="E31" s="11" t="s">
        <v>287</v>
      </c>
      <c r="F31" s="25" t="s">
        <v>127</v>
      </c>
      <c r="G31" s="11" t="s">
        <v>289</v>
      </c>
      <c r="H31" s="11" t="s">
        <v>290</v>
      </c>
      <c r="I31" s="15" t="s">
        <v>42</v>
      </c>
      <c r="J31" s="16">
        <v>3.0</v>
      </c>
      <c r="K31" s="11" t="s">
        <v>291</v>
      </c>
      <c r="L31" s="17" t="s">
        <v>53</v>
      </c>
    </row>
    <row r="32" ht="14.25" customHeight="1">
      <c r="A32" s="11" t="s">
        <v>292</v>
      </c>
      <c r="B32" s="11" t="s">
        <v>31</v>
      </c>
      <c r="C32" s="13" t="s">
        <v>29</v>
      </c>
      <c r="D32" s="11" t="s">
        <v>293</v>
      </c>
      <c r="E32" s="11" t="s">
        <v>294</v>
      </c>
      <c r="F32" s="25" t="s">
        <v>127</v>
      </c>
      <c r="G32" s="11" t="s">
        <v>295</v>
      </c>
      <c r="H32" s="11" t="s">
        <v>296</v>
      </c>
      <c r="I32" s="15" t="s">
        <v>42</v>
      </c>
      <c r="J32" s="16">
        <v>4.0</v>
      </c>
      <c r="K32" s="11" t="s">
        <v>297</v>
      </c>
      <c r="L32" s="17" t="s">
        <v>53</v>
      </c>
    </row>
    <row r="33" ht="14.25" customHeight="1">
      <c r="A33" s="11" t="s">
        <v>298</v>
      </c>
      <c r="B33" s="11" t="s">
        <v>31</v>
      </c>
      <c r="C33" s="13" t="s">
        <v>29</v>
      </c>
      <c r="D33" s="11" t="s">
        <v>293</v>
      </c>
      <c r="E33" s="11" t="s">
        <v>299</v>
      </c>
      <c r="F33" s="25" t="s">
        <v>127</v>
      </c>
      <c r="G33" s="11" t="s">
        <v>300</v>
      </c>
      <c r="H33" s="11" t="s">
        <v>301</v>
      </c>
      <c r="I33" s="15" t="s">
        <v>42</v>
      </c>
      <c r="J33" s="16">
        <v>4.0</v>
      </c>
      <c r="K33" s="11" t="s">
        <v>302</v>
      </c>
      <c r="L33" s="17" t="s">
        <v>53</v>
      </c>
    </row>
    <row r="34" ht="14.25" customHeight="1">
      <c r="A34" s="11" t="s">
        <v>303</v>
      </c>
      <c r="B34" s="11" t="s">
        <v>31</v>
      </c>
      <c r="C34" s="13" t="s">
        <v>29</v>
      </c>
      <c r="D34" s="11" t="s">
        <v>304</v>
      </c>
      <c r="E34" s="11" t="s">
        <v>305</v>
      </c>
      <c r="F34" s="25" t="s">
        <v>127</v>
      </c>
      <c r="G34" s="11" t="s">
        <v>306</v>
      </c>
      <c r="H34" s="11" t="s">
        <v>307</v>
      </c>
      <c r="I34" s="15" t="s">
        <v>42</v>
      </c>
      <c r="J34" s="16">
        <v>5.0</v>
      </c>
      <c r="K34" s="11" t="s">
        <v>308</v>
      </c>
      <c r="L34" s="17" t="s">
        <v>53</v>
      </c>
    </row>
    <row r="35" ht="14.25" customHeight="1">
      <c r="A35" s="11" t="s">
        <v>309</v>
      </c>
      <c r="B35" s="11" t="s">
        <v>31</v>
      </c>
      <c r="C35" s="13" t="s">
        <v>29</v>
      </c>
      <c r="D35" s="11" t="s">
        <v>304</v>
      </c>
      <c r="E35" s="11" t="s">
        <v>310</v>
      </c>
      <c r="F35" s="25" t="s">
        <v>127</v>
      </c>
      <c r="G35" s="11" t="s">
        <v>311</v>
      </c>
      <c r="H35" s="11" t="s">
        <v>312</v>
      </c>
      <c r="I35" s="15" t="s">
        <v>42</v>
      </c>
      <c r="J35" s="16">
        <v>3.0</v>
      </c>
      <c r="K35" s="11" t="s">
        <v>313</v>
      </c>
      <c r="L35" s="17" t="s">
        <v>53</v>
      </c>
    </row>
    <row r="36" ht="14.25" customHeight="1">
      <c r="A36" s="11" t="s">
        <v>314</v>
      </c>
      <c r="B36" s="11" t="s">
        <v>31</v>
      </c>
      <c r="C36" s="13" t="s">
        <v>29</v>
      </c>
      <c r="D36" s="11" t="s">
        <v>293</v>
      </c>
      <c r="E36" s="11" t="s">
        <v>315</v>
      </c>
      <c r="F36" s="25" t="s">
        <v>127</v>
      </c>
      <c r="G36" s="11" t="s">
        <v>316</v>
      </c>
      <c r="H36" s="11" t="s">
        <v>317</v>
      </c>
      <c r="I36" s="15" t="s">
        <v>42</v>
      </c>
      <c r="J36" s="16">
        <v>4.0</v>
      </c>
      <c r="K36" s="11" t="s">
        <v>318</v>
      </c>
      <c r="L36" s="17" t="s">
        <v>53</v>
      </c>
    </row>
    <row r="37" ht="14.25" customHeight="1">
      <c r="A37" s="11" t="s">
        <v>319</v>
      </c>
      <c r="B37" s="11" t="s">
        <v>31</v>
      </c>
      <c r="C37" s="13" t="s">
        <v>29</v>
      </c>
      <c r="D37" s="11" t="s">
        <v>170</v>
      </c>
      <c r="E37" s="11" t="s">
        <v>320</v>
      </c>
      <c r="F37" s="27" t="s">
        <v>170</v>
      </c>
      <c r="G37" s="11" t="s">
        <v>321</v>
      </c>
      <c r="H37" s="11" t="s">
        <v>322</v>
      </c>
      <c r="I37" s="24" t="s">
        <v>102</v>
      </c>
      <c r="J37" s="16">
        <v>4.0</v>
      </c>
      <c r="K37" s="11" t="s">
        <v>323</v>
      </c>
      <c r="L37" s="17" t="s">
        <v>53</v>
      </c>
    </row>
    <row r="38" ht="14.25" customHeight="1">
      <c r="A38" s="11" t="s">
        <v>324</v>
      </c>
      <c r="B38" s="11" t="s">
        <v>43</v>
      </c>
      <c r="C38" s="13" t="s">
        <v>29</v>
      </c>
      <c r="D38" s="11" t="s">
        <v>325</v>
      </c>
      <c r="E38" s="11" t="s">
        <v>326</v>
      </c>
      <c r="F38" s="14" t="s">
        <v>36</v>
      </c>
      <c r="G38" s="11" t="s">
        <v>327</v>
      </c>
      <c r="H38" s="11" t="s">
        <v>328</v>
      </c>
      <c r="I38" s="15" t="s">
        <v>42</v>
      </c>
      <c r="J38" s="16">
        <v>4.0</v>
      </c>
      <c r="K38" s="11" t="s">
        <v>329</v>
      </c>
      <c r="L38" s="17" t="s">
        <v>53</v>
      </c>
    </row>
    <row r="39" ht="14.25" customHeight="1">
      <c r="A39" s="11" t="s">
        <v>330</v>
      </c>
      <c r="B39" s="11" t="s">
        <v>43</v>
      </c>
      <c r="C39" s="13" t="s">
        <v>29</v>
      </c>
      <c r="D39" s="11" t="s">
        <v>325</v>
      </c>
      <c r="E39" s="11" t="s">
        <v>331</v>
      </c>
      <c r="F39" s="14" t="s">
        <v>36</v>
      </c>
      <c r="G39" s="11" t="s">
        <v>332</v>
      </c>
      <c r="H39" s="11" t="s">
        <v>333</v>
      </c>
      <c r="I39" s="15" t="s">
        <v>42</v>
      </c>
      <c r="J39" s="16">
        <v>5.0</v>
      </c>
      <c r="K39" s="11" t="s">
        <v>334</v>
      </c>
      <c r="L39" s="17" t="s">
        <v>53</v>
      </c>
    </row>
    <row r="40" ht="14.25" customHeight="1">
      <c r="A40" s="11" t="s">
        <v>335</v>
      </c>
      <c r="B40" s="11" t="s">
        <v>43</v>
      </c>
      <c r="C40" s="13" t="s">
        <v>29</v>
      </c>
      <c r="D40" s="11" t="s">
        <v>325</v>
      </c>
      <c r="E40" s="11" t="s">
        <v>336</v>
      </c>
      <c r="F40" s="14" t="s">
        <v>36</v>
      </c>
      <c r="G40" s="11" t="s">
        <v>337</v>
      </c>
      <c r="H40" s="11" t="s">
        <v>338</v>
      </c>
      <c r="I40" s="15" t="s">
        <v>42</v>
      </c>
      <c r="J40" s="16">
        <v>3.0</v>
      </c>
      <c r="K40" s="11" t="s">
        <v>339</v>
      </c>
      <c r="L40" s="17" t="s">
        <v>53</v>
      </c>
    </row>
    <row r="41" ht="14.25" customHeight="1">
      <c r="A41" s="11" t="s">
        <v>341</v>
      </c>
      <c r="B41" s="11" t="s">
        <v>43</v>
      </c>
      <c r="C41" s="13" t="s">
        <v>29</v>
      </c>
      <c r="D41" s="11" t="s">
        <v>325</v>
      </c>
      <c r="E41" s="11" t="s">
        <v>342</v>
      </c>
      <c r="F41" s="14" t="s">
        <v>36</v>
      </c>
      <c r="G41" s="11" t="s">
        <v>343</v>
      </c>
      <c r="H41" s="11" t="s">
        <v>344</v>
      </c>
      <c r="I41" s="15" t="s">
        <v>42</v>
      </c>
      <c r="J41" s="16">
        <v>3.0</v>
      </c>
      <c r="K41" s="11" t="s">
        <v>345</v>
      </c>
      <c r="L41" s="17" t="s">
        <v>53</v>
      </c>
    </row>
    <row r="42" ht="14.25" customHeight="1">
      <c r="A42" s="11" t="s">
        <v>346</v>
      </c>
      <c r="B42" s="11" t="s">
        <v>43</v>
      </c>
      <c r="C42" s="13" t="s">
        <v>29</v>
      </c>
      <c r="D42" s="11" t="s">
        <v>325</v>
      </c>
      <c r="E42" s="11" t="s">
        <v>348</v>
      </c>
      <c r="F42" s="14" t="s">
        <v>36</v>
      </c>
      <c r="G42" s="11" t="s">
        <v>349</v>
      </c>
      <c r="H42" s="11" t="s">
        <v>350</v>
      </c>
      <c r="I42" s="15" t="s">
        <v>42</v>
      </c>
      <c r="J42" s="16">
        <v>3.0</v>
      </c>
      <c r="K42" s="11" t="s">
        <v>351</v>
      </c>
      <c r="L42" s="17" t="s">
        <v>53</v>
      </c>
    </row>
    <row r="43" ht="14.25" customHeight="1">
      <c r="A43" s="11" t="s">
        <v>352</v>
      </c>
      <c r="B43" s="11" t="s">
        <v>43</v>
      </c>
      <c r="C43" s="13" t="s">
        <v>29</v>
      </c>
      <c r="D43" s="11" t="s">
        <v>325</v>
      </c>
      <c r="E43" s="11" t="s">
        <v>353</v>
      </c>
      <c r="F43" s="14" t="s">
        <v>36</v>
      </c>
      <c r="G43" s="11" t="s">
        <v>354</v>
      </c>
      <c r="H43" s="11" t="s">
        <v>355</v>
      </c>
      <c r="I43" s="15" t="s">
        <v>42</v>
      </c>
      <c r="J43" s="16">
        <v>4.0</v>
      </c>
      <c r="K43" s="11" t="s">
        <v>356</v>
      </c>
      <c r="L43" s="17" t="s">
        <v>53</v>
      </c>
    </row>
    <row r="44" ht="14.25" customHeight="1">
      <c r="A44" s="11" t="s">
        <v>357</v>
      </c>
      <c r="B44" s="11" t="s">
        <v>43</v>
      </c>
      <c r="C44" s="13" t="s">
        <v>29</v>
      </c>
      <c r="D44" s="11" t="s">
        <v>358</v>
      </c>
      <c r="E44" s="11" t="s">
        <v>359</v>
      </c>
      <c r="F44" s="14" t="s">
        <v>36</v>
      </c>
      <c r="G44" s="11" t="s">
        <v>360</v>
      </c>
      <c r="H44" s="11" t="s">
        <v>361</v>
      </c>
      <c r="I44" s="15" t="s">
        <v>42</v>
      </c>
      <c r="J44" s="16">
        <v>4.0</v>
      </c>
      <c r="K44" s="11" t="s">
        <v>362</v>
      </c>
      <c r="L44" s="17" t="s">
        <v>53</v>
      </c>
    </row>
    <row r="45" ht="14.25" customHeight="1">
      <c r="A45" s="11" t="s">
        <v>363</v>
      </c>
      <c r="B45" s="11" t="s">
        <v>43</v>
      </c>
      <c r="C45" s="13" t="s">
        <v>29</v>
      </c>
      <c r="D45" s="11" t="s">
        <v>358</v>
      </c>
      <c r="E45" s="11" t="s">
        <v>364</v>
      </c>
      <c r="F45" s="14" t="s">
        <v>36</v>
      </c>
      <c r="G45" s="11" t="s">
        <v>365</v>
      </c>
      <c r="H45" s="11" t="s">
        <v>366</v>
      </c>
      <c r="I45" s="24" t="s">
        <v>102</v>
      </c>
      <c r="J45" s="16">
        <v>3.0</v>
      </c>
      <c r="K45" s="11" t="s">
        <v>367</v>
      </c>
      <c r="L45" s="17" t="s">
        <v>53</v>
      </c>
    </row>
    <row r="46" ht="14.25" customHeight="1">
      <c r="A46" s="11" t="s">
        <v>368</v>
      </c>
      <c r="B46" s="11" t="s">
        <v>43</v>
      </c>
      <c r="C46" s="13" t="s">
        <v>29</v>
      </c>
      <c r="D46" s="11" t="s">
        <v>369</v>
      </c>
      <c r="E46" s="11" t="s">
        <v>370</v>
      </c>
      <c r="F46" s="25" t="s">
        <v>127</v>
      </c>
      <c r="G46" s="11" t="s">
        <v>371</v>
      </c>
      <c r="H46" s="11" t="s">
        <v>372</v>
      </c>
      <c r="I46" s="15" t="s">
        <v>42</v>
      </c>
      <c r="J46" s="16">
        <v>5.0</v>
      </c>
      <c r="K46" s="11" t="s">
        <v>272</v>
      </c>
      <c r="L46" s="17" t="s">
        <v>53</v>
      </c>
    </row>
    <row r="47" ht="14.25" customHeight="1">
      <c r="A47" s="11" t="s">
        <v>373</v>
      </c>
      <c r="B47" s="11" t="s">
        <v>43</v>
      </c>
      <c r="C47" s="13" t="s">
        <v>29</v>
      </c>
      <c r="D47" s="11" t="s">
        <v>369</v>
      </c>
      <c r="E47" s="11" t="s">
        <v>374</v>
      </c>
      <c r="F47" s="25" t="s">
        <v>127</v>
      </c>
      <c r="G47" s="11" t="s">
        <v>375</v>
      </c>
      <c r="H47" s="11" t="s">
        <v>376</v>
      </c>
      <c r="I47" s="15" t="s">
        <v>42</v>
      </c>
      <c r="J47" s="16">
        <v>3.0</v>
      </c>
      <c r="K47" s="11" t="s">
        <v>377</v>
      </c>
      <c r="L47" s="17" t="s">
        <v>53</v>
      </c>
    </row>
    <row r="48" ht="14.25" customHeight="1">
      <c r="A48" s="11" t="s">
        <v>378</v>
      </c>
      <c r="B48" s="11" t="s">
        <v>43</v>
      </c>
      <c r="C48" s="13" t="s">
        <v>29</v>
      </c>
      <c r="D48" s="11" t="s">
        <v>379</v>
      </c>
      <c r="E48" s="11" t="s">
        <v>380</v>
      </c>
      <c r="F48" s="25" t="s">
        <v>127</v>
      </c>
      <c r="G48" s="11" t="s">
        <v>381</v>
      </c>
      <c r="H48" s="11" t="s">
        <v>382</v>
      </c>
      <c r="I48" s="15" t="s">
        <v>42</v>
      </c>
      <c r="J48" s="16">
        <v>4.0</v>
      </c>
      <c r="K48" s="11" t="s">
        <v>383</v>
      </c>
      <c r="L48" s="17" t="s">
        <v>53</v>
      </c>
    </row>
    <row r="49" ht="14.25" customHeight="1">
      <c r="A49" s="11" t="s">
        <v>384</v>
      </c>
      <c r="B49" s="11" t="s">
        <v>43</v>
      </c>
      <c r="C49" s="13" t="s">
        <v>29</v>
      </c>
      <c r="D49" s="11" t="s">
        <v>379</v>
      </c>
      <c r="E49" s="11" t="s">
        <v>385</v>
      </c>
      <c r="F49" s="25" t="s">
        <v>127</v>
      </c>
      <c r="G49" s="11" t="s">
        <v>386</v>
      </c>
      <c r="H49" s="11" t="s">
        <v>387</v>
      </c>
      <c r="I49" s="15" t="s">
        <v>42</v>
      </c>
      <c r="J49" s="16">
        <v>3.0</v>
      </c>
      <c r="K49" s="11" t="s">
        <v>388</v>
      </c>
      <c r="L49" s="17" t="s">
        <v>53</v>
      </c>
    </row>
    <row r="50" ht="14.25" customHeight="1">
      <c r="A50" s="11" t="s">
        <v>389</v>
      </c>
      <c r="B50" s="11" t="s">
        <v>43</v>
      </c>
      <c r="C50" s="13" t="s">
        <v>29</v>
      </c>
      <c r="D50" s="11" t="s">
        <v>390</v>
      </c>
      <c r="E50" s="11" t="s">
        <v>391</v>
      </c>
      <c r="F50" s="25" t="s">
        <v>127</v>
      </c>
      <c r="G50" s="11" t="s">
        <v>392</v>
      </c>
      <c r="H50" s="11" t="s">
        <v>393</v>
      </c>
      <c r="I50" s="15" t="s">
        <v>42</v>
      </c>
      <c r="J50" s="16">
        <v>3.0</v>
      </c>
      <c r="K50" s="11" t="s">
        <v>394</v>
      </c>
      <c r="L50" s="17" t="s">
        <v>53</v>
      </c>
    </row>
    <row r="51" ht="14.25" customHeight="1">
      <c r="A51" s="11" t="s">
        <v>395</v>
      </c>
      <c r="B51" s="11" t="s">
        <v>43</v>
      </c>
      <c r="C51" s="13" t="s">
        <v>29</v>
      </c>
      <c r="D51" s="11" t="s">
        <v>390</v>
      </c>
      <c r="E51" s="11" t="s">
        <v>396</v>
      </c>
      <c r="F51" s="25" t="s">
        <v>127</v>
      </c>
      <c r="G51" s="11" t="s">
        <v>397</v>
      </c>
      <c r="H51" s="11" t="s">
        <v>398</v>
      </c>
      <c r="I51" s="24" t="s">
        <v>102</v>
      </c>
      <c r="J51" s="16">
        <v>2.0</v>
      </c>
      <c r="K51" s="11" t="s">
        <v>399</v>
      </c>
      <c r="L51" s="17" t="s">
        <v>53</v>
      </c>
    </row>
    <row r="52" ht="14.25" customHeight="1">
      <c r="A52" s="11" t="s">
        <v>400</v>
      </c>
      <c r="B52" s="11" t="s">
        <v>43</v>
      </c>
      <c r="C52" s="13" t="s">
        <v>29</v>
      </c>
      <c r="D52" s="11" t="s">
        <v>369</v>
      </c>
      <c r="E52" s="11" t="s">
        <v>401</v>
      </c>
      <c r="F52" s="25" t="s">
        <v>127</v>
      </c>
      <c r="G52" s="11" t="s">
        <v>402</v>
      </c>
      <c r="H52" s="11" t="s">
        <v>403</v>
      </c>
      <c r="I52" s="24" t="s">
        <v>102</v>
      </c>
      <c r="J52" s="16">
        <v>3.0</v>
      </c>
      <c r="K52" s="11" t="s">
        <v>394</v>
      </c>
      <c r="L52" s="17" t="s">
        <v>53</v>
      </c>
    </row>
    <row r="53" ht="14.25" customHeight="1">
      <c r="A53" s="11" t="s">
        <v>404</v>
      </c>
      <c r="B53" s="11" t="s">
        <v>43</v>
      </c>
      <c r="C53" s="13" t="s">
        <v>29</v>
      </c>
      <c r="D53" s="11" t="s">
        <v>369</v>
      </c>
      <c r="E53" s="11" t="s">
        <v>405</v>
      </c>
      <c r="F53" s="25" t="s">
        <v>127</v>
      </c>
      <c r="G53" s="11" t="s">
        <v>406</v>
      </c>
      <c r="H53" s="11" t="s">
        <v>407</v>
      </c>
      <c r="I53" s="24" t="s">
        <v>102</v>
      </c>
      <c r="J53" s="16">
        <v>3.0</v>
      </c>
      <c r="K53" s="11" t="s">
        <v>394</v>
      </c>
      <c r="L53" s="17" t="s">
        <v>53</v>
      </c>
    </row>
    <row r="54" ht="14.25" customHeight="1">
      <c r="A54" s="11" t="s">
        <v>408</v>
      </c>
      <c r="B54" s="11" t="s">
        <v>43</v>
      </c>
      <c r="C54" s="13" t="s">
        <v>29</v>
      </c>
      <c r="D54" s="11" t="s">
        <v>170</v>
      </c>
      <c r="E54" s="11" t="s">
        <v>409</v>
      </c>
      <c r="F54" s="27" t="s">
        <v>170</v>
      </c>
      <c r="G54" s="11" t="s">
        <v>410</v>
      </c>
      <c r="H54" s="11" t="s">
        <v>411</v>
      </c>
      <c r="I54" s="24" t="s">
        <v>102</v>
      </c>
      <c r="J54" s="16">
        <v>3.0</v>
      </c>
      <c r="K54" s="11" t="s">
        <v>412</v>
      </c>
      <c r="L54" s="17" t="s">
        <v>53</v>
      </c>
    </row>
    <row r="55" ht="14.25" customHeight="1">
      <c r="A55" s="11" t="s">
        <v>413</v>
      </c>
      <c r="B55" s="11" t="s">
        <v>50</v>
      </c>
      <c r="C55" s="13" t="s">
        <v>29</v>
      </c>
      <c r="D55" s="11" t="s">
        <v>414</v>
      </c>
      <c r="E55" s="11" t="s">
        <v>415</v>
      </c>
      <c r="F55" s="14" t="s">
        <v>36</v>
      </c>
      <c r="G55" s="11" t="s">
        <v>416</v>
      </c>
      <c r="H55" s="11" t="s">
        <v>417</v>
      </c>
      <c r="I55" s="15" t="s">
        <v>42</v>
      </c>
      <c r="J55" s="16">
        <v>4.0</v>
      </c>
      <c r="K55" s="11" t="s">
        <v>418</v>
      </c>
      <c r="L55" s="35" t="s">
        <v>96</v>
      </c>
    </row>
    <row r="56" ht="14.25" customHeight="1">
      <c r="A56" s="11" t="s">
        <v>419</v>
      </c>
      <c r="B56" s="11" t="s">
        <v>50</v>
      </c>
      <c r="C56" s="13" t="s">
        <v>29</v>
      </c>
      <c r="D56" s="11" t="s">
        <v>414</v>
      </c>
      <c r="E56" s="11" t="s">
        <v>420</v>
      </c>
      <c r="F56" s="14" t="s">
        <v>36</v>
      </c>
      <c r="G56" s="11" t="s">
        <v>421</v>
      </c>
      <c r="H56" s="11" t="s">
        <v>422</v>
      </c>
      <c r="I56" s="15" t="s">
        <v>42</v>
      </c>
      <c r="J56" s="16">
        <v>4.0</v>
      </c>
      <c r="K56" s="11" t="s">
        <v>423</v>
      </c>
      <c r="L56" s="35" t="s">
        <v>96</v>
      </c>
    </row>
    <row r="57" ht="14.25" customHeight="1">
      <c r="A57" s="11" t="s">
        <v>424</v>
      </c>
      <c r="B57" s="11" t="s">
        <v>50</v>
      </c>
      <c r="C57" s="13" t="s">
        <v>29</v>
      </c>
      <c r="D57" s="11" t="s">
        <v>220</v>
      </c>
      <c r="E57" s="11" t="s">
        <v>425</v>
      </c>
      <c r="F57" s="14" t="s">
        <v>36</v>
      </c>
      <c r="G57" s="11" t="s">
        <v>426</v>
      </c>
      <c r="H57" s="11" t="s">
        <v>427</v>
      </c>
      <c r="I57" s="15" t="s">
        <v>42</v>
      </c>
      <c r="J57" s="16">
        <v>5.0</v>
      </c>
      <c r="K57" s="11" t="s">
        <v>428</v>
      </c>
      <c r="L57" s="35" t="s">
        <v>96</v>
      </c>
    </row>
    <row r="58" ht="14.25" customHeight="1">
      <c r="A58" s="11" t="s">
        <v>429</v>
      </c>
      <c r="B58" s="11" t="s">
        <v>50</v>
      </c>
      <c r="C58" s="13" t="s">
        <v>29</v>
      </c>
      <c r="D58" s="11" t="s">
        <v>220</v>
      </c>
      <c r="E58" s="11" t="s">
        <v>430</v>
      </c>
      <c r="F58" s="14" t="s">
        <v>36</v>
      </c>
      <c r="G58" s="11" t="s">
        <v>431</v>
      </c>
      <c r="H58" s="11" t="s">
        <v>432</v>
      </c>
      <c r="I58" s="15" t="s">
        <v>42</v>
      </c>
      <c r="J58" s="16">
        <v>4.0</v>
      </c>
      <c r="K58" s="11" t="s">
        <v>433</v>
      </c>
      <c r="L58" s="35" t="s">
        <v>96</v>
      </c>
    </row>
    <row r="59" ht="14.25" customHeight="1">
      <c r="A59" s="11" t="s">
        <v>434</v>
      </c>
      <c r="B59" s="11" t="s">
        <v>50</v>
      </c>
      <c r="C59" s="13" t="s">
        <v>29</v>
      </c>
      <c r="D59" s="11" t="s">
        <v>220</v>
      </c>
      <c r="E59" s="11" t="s">
        <v>435</v>
      </c>
      <c r="F59" s="14" t="s">
        <v>36</v>
      </c>
      <c r="G59" s="11" t="s">
        <v>436</v>
      </c>
      <c r="H59" s="11" t="s">
        <v>437</v>
      </c>
      <c r="I59" s="15" t="s">
        <v>42</v>
      </c>
      <c r="J59" s="16">
        <v>5.0</v>
      </c>
      <c r="K59" s="11" t="s">
        <v>438</v>
      </c>
      <c r="L59" s="35" t="s">
        <v>96</v>
      </c>
    </row>
    <row r="60" ht="14.25" customHeight="1">
      <c r="A60" s="11" t="s">
        <v>439</v>
      </c>
      <c r="B60" s="11" t="s">
        <v>50</v>
      </c>
      <c r="C60" s="13" t="s">
        <v>29</v>
      </c>
      <c r="D60" s="11" t="s">
        <v>220</v>
      </c>
      <c r="E60" s="11" t="s">
        <v>440</v>
      </c>
      <c r="F60" s="14" t="s">
        <v>36</v>
      </c>
      <c r="G60" s="11" t="s">
        <v>441</v>
      </c>
      <c r="H60" s="11" t="s">
        <v>442</v>
      </c>
      <c r="I60" s="15" t="s">
        <v>42</v>
      </c>
      <c r="J60" s="16">
        <v>2.0</v>
      </c>
      <c r="K60" s="11" t="s">
        <v>443</v>
      </c>
      <c r="L60" s="35" t="s">
        <v>96</v>
      </c>
    </row>
    <row r="61" ht="14.25" customHeight="1">
      <c r="A61" s="11" t="s">
        <v>444</v>
      </c>
      <c r="B61" s="11" t="s">
        <v>50</v>
      </c>
      <c r="C61" s="13" t="s">
        <v>29</v>
      </c>
      <c r="D61" s="11" t="s">
        <v>445</v>
      </c>
      <c r="E61" s="11" t="s">
        <v>446</v>
      </c>
      <c r="F61" s="14" t="s">
        <v>36</v>
      </c>
      <c r="G61" s="11" t="s">
        <v>447</v>
      </c>
      <c r="H61" s="11" t="s">
        <v>448</v>
      </c>
      <c r="I61" s="15" t="s">
        <v>42</v>
      </c>
      <c r="J61" s="16">
        <v>4.0</v>
      </c>
      <c r="K61" s="11" t="s">
        <v>449</v>
      </c>
      <c r="L61" s="35" t="s">
        <v>96</v>
      </c>
    </row>
    <row r="62" ht="14.25" customHeight="1">
      <c r="A62" s="11" t="s">
        <v>450</v>
      </c>
      <c r="B62" s="11" t="s">
        <v>50</v>
      </c>
      <c r="C62" s="13" t="s">
        <v>29</v>
      </c>
      <c r="D62" s="11" t="s">
        <v>445</v>
      </c>
      <c r="E62" s="11" t="s">
        <v>451</v>
      </c>
      <c r="F62" s="14" t="s">
        <v>36</v>
      </c>
      <c r="G62" s="11" t="s">
        <v>452</v>
      </c>
      <c r="H62" s="11" t="s">
        <v>453</v>
      </c>
      <c r="I62" s="15" t="s">
        <v>42</v>
      </c>
      <c r="J62" s="16">
        <v>5.0</v>
      </c>
      <c r="K62" s="11" t="s">
        <v>454</v>
      </c>
      <c r="L62" s="35" t="s">
        <v>96</v>
      </c>
    </row>
    <row r="63" ht="14.25" customHeight="1">
      <c r="A63" s="11" t="s">
        <v>455</v>
      </c>
      <c r="B63" s="11" t="s">
        <v>50</v>
      </c>
      <c r="C63" s="13" t="s">
        <v>29</v>
      </c>
      <c r="D63" s="11" t="s">
        <v>445</v>
      </c>
      <c r="E63" s="11" t="s">
        <v>456</v>
      </c>
      <c r="F63" s="14" t="s">
        <v>36</v>
      </c>
      <c r="G63" s="11" t="s">
        <v>457</v>
      </c>
      <c r="H63" s="11" t="s">
        <v>458</v>
      </c>
      <c r="I63" s="24" t="s">
        <v>102</v>
      </c>
      <c r="J63" s="16">
        <v>3.0</v>
      </c>
      <c r="K63" s="11" t="s">
        <v>459</v>
      </c>
      <c r="L63" s="35" t="s">
        <v>96</v>
      </c>
    </row>
    <row r="64" ht="14.25" customHeight="1">
      <c r="A64" s="11" t="s">
        <v>460</v>
      </c>
      <c r="B64" s="11" t="s">
        <v>50</v>
      </c>
      <c r="C64" s="13" t="s">
        <v>29</v>
      </c>
      <c r="D64" s="11" t="s">
        <v>461</v>
      </c>
      <c r="E64" s="11" t="s">
        <v>462</v>
      </c>
      <c r="F64" s="14" t="s">
        <v>36</v>
      </c>
      <c r="G64" s="11" t="s">
        <v>463</v>
      </c>
      <c r="H64" s="11" t="s">
        <v>464</v>
      </c>
      <c r="I64" s="15" t="s">
        <v>42</v>
      </c>
      <c r="J64" s="16">
        <v>4.0</v>
      </c>
      <c r="K64" s="11" t="s">
        <v>465</v>
      </c>
      <c r="L64" s="35" t="s">
        <v>96</v>
      </c>
    </row>
    <row r="65" ht="14.25" customHeight="1">
      <c r="A65" s="11" t="s">
        <v>466</v>
      </c>
      <c r="B65" s="11" t="s">
        <v>50</v>
      </c>
      <c r="C65" s="13" t="s">
        <v>29</v>
      </c>
      <c r="D65" s="11" t="s">
        <v>461</v>
      </c>
      <c r="E65" s="11" t="s">
        <v>467</v>
      </c>
      <c r="F65" s="14" t="s">
        <v>36</v>
      </c>
      <c r="G65" s="11" t="s">
        <v>468</v>
      </c>
      <c r="H65" s="11" t="s">
        <v>469</v>
      </c>
      <c r="I65" s="15" t="s">
        <v>42</v>
      </c>
      <c r="J65" s="16">
        <v>3.0</v>
      </c>
      <c r="K65" s="11" t="s">
        <v>470</v>
      </c>
      <c r="L65" s="35" t="s">
        <v>96</v>
      </c>
    </row>
    <row r="66" ht="14.25" customHeight="1">
      <c r="A66" s="11" t="s">
        <v>471</v>
      </c>
      <c r="B66" s="11" t="s">
        <v>50</v>
      </c>
      <c r="C66" s="13" t="s">
        <v>29</v>
      </c>
      <c r="D66" s="11" t="s">
        <v>472</v>
      </c>
      <c r="E66" s="11" t="s">
        <v>473</v>
      </c>
      <c r="F66" s="25" t="s">
        <v>127</v>
      </c>
      <c r="G66" s="11" t="s">
        <v>474</v>
      </c>
      <c r="H66" s="11" t="s">
        <v>475</v>
      </c>
      <c r="I66" s="15" t="s">
        <v>42</v>
      </c>
      <c r="J66" s="16">
        <v>4.0</v>
      </c>
      <c r="K66" s="11" t="s">
        <v>476</v>
      </c>
      <c r="L66" s="35" t="s">
        <v>96</v>
      </c>
    </row>
    <row r="67" ht="14.25" customHeight="1">
      <c r="A67" s="11" t="s">
        <v>477</v>
      </c>
      <c r="B67" s="11" t="s">
        <v>50</v>
      </c>
      <c r="C67" s="13" t="s">
        <v>29</v>
      </c>
      <c r="D67" s="11" t="s">
        <v>472</v>
      </c>
      <c r="E67" s="11" t="s">
        <v>478</v>
      </c>
      <c r="F67" s="25" t="s">
        <v>127</v>
      </c>
      <c r="G67" s="11" t="s">
        <v>479</v>
      </c>
      <c r="H67" s="11" t="s">
        <v>480</v>
      </c>
      <c r="I67" s="15" t="s">
        <v>42</v>
      </c>
      <c r="J67" s="16">
        <v>4.0</v>
      </c>
      <c r="K67" s="11" t="s">
        <v>481</v>
      </c>
      <c r="L67" s="35" t="s">
        <v>96</v>
      </c>
    </row>
    <row r="68" ht="14.25" customHeight="1">
      <c r="A68" s="11" t="s">
        <v>482</v>
      </c>
      <c r="B68" s="11" t="s">
        <v>50</v>
      </c>
      <c r="C68" s="13" t="s">
        <v>29</v>
      </c>
      <c r="D68" s="11" t="s">
        <v>483</v>
      </c>
      <c r="E68" s="11" t="s">
        <v>484</v>
      </c>
      <c r="F68" s="25" t="s">
        <v>127</v>
      </c>
      <c r="G68" s="11" t="s">
        <v>485</v>
      </c>
      <c r="H68" s="11" t="s">
        <v>486</v>
      </c>
      <c r="I68" s="15" t="s">
        <v>42</v>
      </c>
      <c r="J68" s="16">
        <v>3.0</v>
      </c>
      <c r="K68" s="11" t="s">
        <v>487</v>
      </c>
      <c r="L68" s="35" t="s">
        <v>96</v>
      </c>
    </row>
    <row r="69" ht="14.25" customHeight="1">
      <c r="A69" s="11" t="s">
        <v>488</v>
      </c>
      <c r="B69" s="11" t="s">
        <v>50</v>
      </c>
      <c r="C69" s="13" t="s">
        <v>29</v>
      </c>
      <c r="D69" s="11" t="s">
        <v>483</v>
      </c>
      <c r="E69" s="11" t="s">
        <v>489</v>
      </c>
      <c r="F69" s="36" t="s">
        <v>490</v>
      </c>
      <c r="G69" s="11" t="s">
        <v>491</v>
      </c>
      <c r="H69" s="11" t="s">
        <v>492</v>
      </c>
      <c r="I69" s="15" t="s">
        <v>42</v>
      </c>
      <c r="J69" s="16">
        <v>5.0</v>
      </c>
      <c r="K69" s="11" t="s">
        <v>493</v>
      </c>
      <c r="L69" s="35" t="s">
        <v>96</v>
      </c>
    </row>
    <row r="70" ht="14.25" customHeight="1">
      <c r="A70" s="11" t="s">
        <v>494</v>
      </c>
      <c r="B70" s="11" t="s">
        <v>50</v>
      </c>
      <c r="C70" s="13" t="s">
        <v>29</v>
      </c>
      <c r="D70" s="11" t="s">
        <v>483</v>
      </c>
      <c r="E70" s="11" t="s">
        <v>495</v>
      </c>
      <c r="F70" s="36" t="s">
        <v>490</v>
      </c>
      <c r="G70" s="11" t="s">
        <v>496</v>
      </c>
      <c r="H70" s="11" t="s">
        <v>497</v>
      </c>
      <c r="I70" s="24" t="s">
        <v>102</v>
      </c>
      <c r="J70" s="16">
        <v>6.0</v>
      </c>
      <c r="K70" s="11" t="s">
        <v>498</v>
      </c>
      <c r="L70" s="35" t="s">
        <v>96</v>
      </c>
    </row>
    <row r="71" ht="14.25" customHeight="1">
      <c r="A71" s="11" t="s">
        <v>499</v>
      </c>
      <c r="B71" s="11" t="s">
        <v>50</v>
      </c>
      <c r="C71" s="13" t="s">
        <v>29</v>
      </c>
      <c r="D71" s="11" t="s">
        <v>483</v>
      </c>
      <c r="E71" s="11" t="s">
        <v>500</v>
      </c>
      <c r="F71" s="25" t="s">
        <v>127</v>
      </c>
      <c r="G71" s="11" t="s">
        <v>501</v>
      </c>
      <c r="H71" s="11" t="s">
        <v>502</v>
      </c>
      <c r="I71" s="15" t="s">
        <v>42</v>
      </c>
      <c r="J71" s="16">
        <v>3.0</v>
      </c>
      <c r="K71" s="11" t="s">
        <v>503</v>
      </c>
      <c r="L71" s="35" t="s">
        <v>96</v>
      </c>
    </row>
    <row r="72" ht="14.25" customHeight="1">
      <c r="A72" s="11" t="s">
        <v>504</v>
      </c>
      <c r="B72" s="11" t="s">
        <v>50</v>
      </c>
      <c r="C72" s="13" t="s">
        <v>29</v>
      </c>
      <c r="D72" s="11" t="s">
        <v>505</v>
      </c>
      <c r="E72" s="11" t="s">
        <v>506</v>
      </c>
      <c r="F72" s="36" t="s">
        <v>490</v>
      </c>
      <c r="G72" s="11" t="s">
        <v>507</v>
      </c>
      <c r="H72" s="11" t="s">
        <v>508</v>
      </c>
      <c r="I72" s="15" t="s">
        <v>42</v>
      </c>
      <c r="J72" s="16">
        <v>6.0</v>
      </c>
      <c r="K72" s="11" t="s">
        <v>509</v>
      </c>
      <c r="L72" s="35" t="s">
        <v>96</v>
      </c>
    </row>
    <row r="73" ht="14.25" customHeight="1">
      <c r="A73" s="11" t="s">
        <v>510</v>
      </c>
      <c r="B73" s="11" t="s">
        <v>50</v>
      </c>
      <c r="C73" s="13" t="s">
        <v>29</v>
      </c>
      <c r="D73" s="11" t="s">
        <v>505</v>
      </c>
      <c r="E73" s="11" t="s">
        <v>511</v>
      </c>
      <c r="F73" s="25" t="s">
        <v>127</v>
      </c>
      <c r="G73" s="11" t="s">
        <v>512</v>
      </c>
      <c r="H73" s="11" t="s">
        <v>513</v>
      </c>
      <c r="I73" s="15" t="s">
        <v>42</v>
      </c>
      <c r="J73" s="16">
        <v>4.0</v>
      </c>
      <c r="K73" s="11" t="s">
        <v>514</v>
      </c>
      <c r="L73" s="35" t="s">
        <v>96</v>
      </c>
    </row>
    <row r="74" ht="14.25" customHeight="1">
      <c r="A74" s="11" t="s">
        <v>515</v>
      </c>
      <c r="B74" s="11" t="s">
        <v>50</v>
      </c>
      <c r="C74" s="13" t="s">
        <v>29</v>
      </c>
      <c r="D74" s="11" t="s">
        <v>516</v>
      </c>
      <c r="E74" s="11" t="s">
        <v>517</v>
      </c>
      <c r="F74" s="25" t="s">
        <v>127</v>
      </c>
      <c r="G74" s="11" t="s">
        <v>518</v>
      </c>
      <c r="H74" s="11" t="s">
        <v>519</v>
      </c>
      <c r="I74" s="15" t="s">
        <v>42</v>
      </c>
      <c r="J74" s="16">
        <v>5.0</v>
      </c>
      <c r="K74" s="11" t="s">
        <v>520</v>
      </c>
      <c r="L74" s="35" t="s">
        <v>96</v>
      </c>
    </row>
    <row r="75" ht="14.25" customHeight="1">
      <c r="A75" s="11" t="s">
        <v>521</v>
      </c>
      <c r="B75" s="11" t="s">
        <v>50</v>
      </c>
      <c r="C75" s="13" t="s">
        <v>29</v>
      </c>
      <c r="D75" s="11" t="s">
        <v>516</v>
      </c>
      <c r="E75" s="11" t="s">
        <v>522</v>
      </c>
      <c r="F75" s="36" t="s">
        <v>490</v>
      </c>
      <c r="G75" s="11" t="s">
        <v>523</v>
      </c>
      <c r="H75" s="11" t="s">
        <v>524</v>
      </c>
      <c r="I75" s="15" t="s">
        <v>42</v>
      </c>
      <c r="J75" s="16">
        <v>8.0</v>
      </c>
      <c r="K75" s="11" t="s">
        <v>525</v>
      </c>
      <c r="L75" s="35" t="s">
        <v>96</v>
      </c>
    </row>
    <row r="76" ht="14.25" customHeight="1">
      <c r="A76" s="11" t="s">
        <v>526</v>
      </c>
      <c r="B76" s="11" t="s">
        <v>50</v>
      </c>
      <c r="C76" s="13" t="s">
        <v>29</v>
      </c>
      <c r="D76" s="11" t="s">
        <v>516</v>
      </c>
      <c r="E76" s="11" t="s">
        <v>527</v>
      </c>
      <c r="F76" s="25" t="s">
        <v>127</v>
      </c>
      <c r="G76" s="11" t="s">
        <v>528</v>
      </c>
      <c r="H76" s="11" t="s">
        <v>529</v>
      </c>
      <c r="I76" s="15" t="s">
        <v>42</v>
      </c>
      <c r="J76" s="16">
        <v>4.0</v>
      </c>
      <c r="K76" s="11" t="s">
        <v>530</v>
      </c>
      <c r="L76" s="35" t="s">
        <v>96</v>
      </c>
    </row>
    <row r="77" ht="14.25" customHeight="1">
      <c r="A77" s="11" t="s">
        <v>531</v>
      </c>
      <c r="B77" s="11" t="s">
        <v>50</v>
      </c>
      <c r="C77" s="13" t="s">
        <v>29</v>
      </c>
      <c r="D77" s="11" t="s">
        <v>170</v>
      </c>
      <c r="E77" s="11" t="s">
        <v>532</v>
      </c>
      <c r="F77" s="27" t="s">
        <v>170</v>
      </c>
      <c r="G77" s="11" t="s">
        <v>533</v>
      </c>
      <c r="H77" s="11" t="s">
        <v>534</v>
      </c>
      <c r="I77" s="15" t="s">
        <v>42</v>
      </c>
      <c r="J77" s="16">
        <v>5.0</v>
      </c>
      <c r="K77" s="11" t="s">
        <v>535</v>
      </c>
      <c r="L77" s="35" t="s">
        <v>96</v>
      </c>
    </row>
    <row r="78" ht="14.25" customHeight="1">
      <c r="A78" s="11" t="s">
        <v>536</v>
      </c>
      <c r="B78" s="11" t="s">
        <v>56</v>
      </c>
      <c r="C78" s="18" t="s">
        <v>63</v>
      </c>
      <c r="D78" s="11" t="s">
        <v>537</v>
      </c>
      <c r="E78" s="11" t="s">
        <v>538</v>
      </c>
      <c r="F78" s="14" t="s">
        <v>36</v>
      </c>
      <c r="G78" s="11" t="s">
        <v>539</v>
      </c>
      <c r="H78" s="11" t="s">
        <v>540</v>
      </c>
      <c r="I78" s="15" t="s">
        <v>42</v>
      </c>
      <c r="J78" s="16">
        <v>4.0</v>
      </c>
      <c r="K78" s="11" t="s">
        <v>541</v>
      </c>
      <c r="L78" s="17" t="s">
        <v>103</v>
      </c>
    </row>
    <row r="79" ht="14.25" customHeight="1">
      <c r="A79" s="11" t="s">
        <v>542</v>
      </c>
      <c r="B79" s="11" t="s">
        <v>56</v>
      </c>
      <c r="C79" s="18" t="s">
        <v>63</v>
      </c>
      <c r="D79" s="11" t="s">
        <v>537</v>
      </c>
      <c r="E79" s="11" t="s">
        <v>543</v>
      </c>
      <c r="F79" s="14" t="s">
        <v>36</v>
      </c>
      <c r="G79" s="11" t="s">
        <v>544</v>
      </c>
      <c r="H79" s="11" t="s">
        <v>545</v>
      </c>
      <c r="I79" s="15" t="s">
        <v>42</v>
      </c>
      <c r="J79" s="16">
        <v>8.0</v>
      </c>
      <c r="K79" s="11" t="s">
        <v>546</v>
      </c>
      <c r="L79" s="17" t="s">
        <v>103</v>
      </c>
    </row>
    <row r="80" ht="14.25" customHeight="1">
      <c r="A80" s="11" t="s">
        <v>547</v>
      </c>
      <c r="B80" s="11" t="s">
        <v>56</v>
      </c>
      <c r="C80" s="18" t="s">
        <v>63</v>
      </c>
      <c r="D80" s="11" t="s">
        <v>548</v>
      </c>
      <c r="E80" s="11" t="s">
        <v>549</v>
      </c>
      <c r="F80" s="14" t="s">
        <v>36</v>
      </c>
      <c r="G80" s="11" t="s">
        <v>550</v>
      </c>
      <c r="H80" s="11" t="s">
        <v>551</v>
      </c>
      <c r="I80" s="15" t="s">
        <v>42</v>
      </c>
      <c r="J80" s="16">
        <v>4.0</v>
      </c>
      <c r="K80" s="11" t="s">
        <v>552</v>
      </c>
      <c r="L80" s="17" t="s">
        <v>103</v>
      </c>
    </row>
    <row r="81" ht="14.25" customHeight="1">
      <c r="A81" s="11" t="s">
        <v>553</v>
      </c>
      <c r="B81" s="11" t="s">
        <v>56</v>
      </c>
      <c r="C81" s="18" t="s">
        <v>63</v>
      </c>
      <c r="D81" s="11" t="s">
        <v>548</v>
      </c>
      <c r="E81" s="11" t="s">
        <v>554</v>
      </c>
      <c r="F81" s="14" t="s">
        <v>36</v>
      </c>
      <c r="G81" s="11" t="s">
        <v>555</v>
      </c>
      <c r="H81" s="11" t="s">
        <v>556</v>
      </c>
      <c r="I81" s="15" t="s">
        <v>42</v>
      </c>
      <c r="J81" s="16">
        <v>4.0</v>
      </c>
      <c r="K81" s="11" t="s">
        <v>557</v>
      </c>
      <c r="L81" s="17" t="s">
        <v>103</v>
      </c>
    </row>
    <row r="82" ht="14.25" customHeight="1">
      <c r="A82" s="11" t="s">
        <v>558</v>
      </c>
      <c r="B82" s="11" t="s">
        <v>56</v>
      </c>
      <c r="C82" s="18" t="s">
        <v>63</v>
      </c>
      <c r="D82" s="11" t="s">
        <v>559</v>
      </c>
      <c r="E82" s="11" t="s">
        <v>560</v>
      </c>
      <c r="F82" s="14" t="s">
        <v>36</v>
      </c>
      <c r="G82" s="11" t="s">
        <v>561</v>
      </c>
      <c r="H82" s="11" t="s">
        <v>562</v>
      </c>
      <c r="I82" s="15" t="s">
        <v>42</v>
      </c>
      <c r="J82" s="16">
        <v>4.0</v>
      </c>
      <c r="K82" s="11" t="s">
        <v>563</v>
      </c>
      <c r="L82" s="17" t="s">
        <v>103</v>
      </c>
    </row>
    <row r="83" ht="14.25" customHeight="1">
      <c r="A83" s="11" t="s">
        <v>564</v>
      </c>
      <c r="B83" s="11" t="s">
        <v>56</v>
      </c>
      <c r="C83" s="18" t="s">
        <v>63</v>
      </c>
      <c r="D83" s="11" t="s">
        <v>559</v>
      </c>
      <c r="E83" s="11" t="s">
        <v>565</v>
      </c>
      <c r="F83" s="14" t="s">
        <v>36</v>
      </c>
      <c r="G83" s="11" t="s">
        <v>566</v>
      </c>
      <c r="H83" s="11" t="s">
        <v>567</v>
      </c>
      <c r="I83" s="15" t="s">
        <v>42</v>
      </c>
      <c r="J83" s="16">
        <v>5.0</v>
      </c>
      <c r="K83" s="11" t="s">
        <v>568</v>
      </c>
      <c r="L83" s="17" t="s">
        <v>103</v>
      </c>
    </row>
    <row r="84" ht="14.25" customHeight="1">
      <c r="A84" s="11" t="s">
        <v>569</v>
      </c>
      <c r="B84" s="11" t="s">
        <v>56</v>
      </c>
      <c r="C84" s="18" t="s">
        <v>63</v>
      </c>
      <c r="D84" s="11" t="s">
        <v>559</v>
      </c>
      <c r="E84" s="11" t="s">
        <v>570</v>
      </c>
      <c r="F84" s="14" t="s">
        <v>36</v>
      </c>
      <c r="G84" s="11" t="s">
        <v>571</v>
      </c>
      <c r="H84" s="11" t="s">
        <v>572</v>
      </c>
      <c r="I84" s="24" t="s">
        <v>102</v>
      </c>
      <c r="J84" s="16">
        <v>4.0</v>
      </c>
      <c r="K84" s="11" t="s">
        <v>573</v>
      </c>
      <c r="L84" s="17" t="s">
        <v>103</v>
      </c>
    </row>
    <row r="85" ht="14.25" customHeight="1">
      <c r="A85" s="11" t="s">
        <v>574</v>
      </c>
      <c r="B85" s="11" t="s">
        <v>56</v>
      </c>
      <c r="C85" s="18" t="s">
        <v>63</v>
      </c>
      <c r="D85" s="11" t="s">
        <v>205</v>
      </c>
      <c r="E85" s="11" t="s">
        <v>575</v>
      </c>
      <c r="F85" s="14" t="s">
        <v>36</v>
      </c>
      <c r="G85" s="11" t="s">
        <v>576</v>
      </c>
      <c r="H85" s="11" t="s">
        <v>577</v>
      </c>
      <c r="I85" s="24" t="s">
        <v>102</v>
      </c>
      <c r="J85" s="16">
        <v>5.0</v>
      </c>
      <c r="K85" s="11" t="s">
        <v>557</v>
      </c>
      <c r="L85" s="17" t="s">
        <v>103</v>
      </c>
    </row>
    <row r="86" ht="14.25" customHeight="1">
      <c r="A86" s="11" t="s">
        <v>578</v>
      </c>
      <c r="B86" s="11" t="s">
        <v>56</v>
      </c>
      <c r="C86" s="18" t="s">
        <v>63</v>
      </c>
      <c r="D86" s="11" t="s">
        <v>579</v>
      </c>
      <c r="E86" s="11" t="s">
        <v>580</v>
      </c>
      <c r="F86" s="25" t="s">
        <v>127</v>
      </c>
      <c r="G86" s="11" t="s">
        <v>581</v>
      </c>
      <c r="H86" s="11" t="s">
        <v>582</v>
      </c>
      <c r="I86" s="15" t="s">
        <v>42</v>
      </c>
      <c r="J86" s="16">
        <v>5.0</v>
      </c>
      <c r="K86" s="11" t="s">
        <v>583</v>
      </c>
      <c r="L86" s="17" t="s">
        <v>103</v>
      </c>
    </row>
    <row r="87" ht="14.25" customHeight="1">
      <c r="A87" s="11" t="s">
        <v>584</v>
      </c>
      <c r="B87" s="11" t="s">
        <v>56</v>
      </c>
      <c r="C87" s="18" t="s">
        <v>63</v>
      </c>
      <c r="D87" s="11" t="s">
        <v>585</v>
      </c>
      <c r="E87" s="11" t="s">
        <v>586</v>
      </c>
      <c r="F87" s="25" t="s">
        <v>127</v>
      </c>
      <c r="G87" s="11" t="s">
        <v>588</v>
      </c>
      <c r="H87" s="11" t="s">
        <v>589</v>
      </c>
      <c r="I87" s="15" t="s">
        <v>42</v>
      </c>
      <c r="J87" s="16">
        <v>4.0</v>
      </c>
      <c r="K87" s="11" t="s">
        <v>590</v>
      </c>
      <c r="L87" s="17" t="s">
        <v>103</v>
      </c>
    </row>
    <row r="88" ht="14.25" customHeight="1">
      <c r="A88" s="11" t="s">
        <v>591</v>
      </c>
      <c r="B88" s="11" t="s">
        <v>56</v>
      </c>
      <c r="C88" s="18" t="s">
        <v>63</v>
      </c>
      <c r="D88" s="11" t="s">
        <v>266</v>
      </c>
      <c r="E88" s="11" t="s">
        <v>592</v>
      </c>
      <c r="F88" s="25" t="s">
        <v>127</v>
      </c>
      <c r="G88" s="11" t="s">
        <v>593</v>
      </c>
      <c r="H88" s="11" t="s">
        <v>594</v>
      </c>
      <c r="I88" s="24" t="s">
        <v>102</v>
      </c>
      <c r="J88" s="16">
        <v>5.0</v>
      </c>
      <c r="K88" s="11" t="s">
        <v>595</v>
      </c>
      <c r="L88" s="17" t="s">
        <v>103</v>
      </c>
    </row>
    <row r="89" ht="14.25" customHeight="1">
      <c r="A89" s="11" t="s">
        <v>596</v>
      </c>
      <c r="B89" s="11" t="s">
        <v>56</v>
      </c>
      <c r="C89" s="18" t="s">
        <v>63</v>
      </c>
      <c r="D89" s="11" t="s">
        <v>597</v>
      </c>
      <c r="E89" s="11" t="s">
        <v>598</v>
      </c>
      <c r="F89" s="25" t="s">
        <v>127</v>
      </c>
      <c r="G89" s="11" t="s">
        <v>599</v>
      </c>
      <c r="H89" s="11" t="s">
        <v>600</v>
      </c>
      <c r="I89" s="15" t="s">
        <v>42</v>
      </c>
      <c r="J89" s="16">
        <v>4.0</v>
      </c>
      <c r="K89" s="11" t="s">
        <v>601</v>
      </c>
      <c r="L89" s="17" t="s">
        <v>103</v>
      </c>
    </row>
    <row r="90" ht="14.25" customHeight="1">
      <c r="A90" s="11" t="s">
        <v>602</v>
      </c>
      <c r="B90" s="11" t="s">
        <v>56</v>
      </c>
      <c r="C90" s="18" t="s">
        <v>63</v>
      </c>
      <c r="D90" s="11" t="s">
        <v>603</v>
      </c>
      <c r="E90" s="11" t="s">
        <v>604</v>
      </c>
      <c r="F90" s="25" t="s">
        <v>127</v>
      </c>
      <c r="G90" s="11" t="s">
        <v>605</v>
      </c>
      <c r="H90" s="11" t="s">
        <v>606</v>
      </c>
      <c r="I90" s="24" t="s">
        <v>102</v>
      </c>
      <c r="J90" s="16">
        <v>4.0</v>
      </c>
      <c r="K90" s="11" t="s">
        <v>607</v>
      </c>
      <c r="L90" s="17" t="s">
        <v>103</v>
      </c>
    </row>
    <row r="91" ht="14.25" customHeight="1">
      <c r="A91" s="11" t="s">
        <v>608</v>
      </c>
      <c r="B91" s="11" t="s">
        <v>56</v>
      </c>
      <c r="C91" s="18" t="s">
        <v>63</v>
      </c>
      <c r="D91" s="11" t="s">
        <v>609</v>
      </c>
      <c r="E91" s="11" t="s">
        <v>610</v>
      </c>
      <c r="F91" s="25" t="s">
        <v>127</v>
      </c>
      <c r="G91" s="11" t="s">
        <v>611</v>
      </c>
      <c r="H91" s="11" t="s">
        <v>612</v>
      </c>
      <c r="I91" s="15" t="s">
        <v>42</v>
      </c>
      <c r="J91" s="16">
        <v>3.0</v>
      </c>
      <c r="K91" s="11" t="s">
        <v>613</v>
      </c>
      <c r="L91" s="17" t="s">
        <v>103</v>
      </c>
    </row>
    <row r="92" ht="14.25" customHeight="1">
      <c r="A92" s="11" t="s">
        <v>614</v>
      </c>
      <c r="B92" s="11" t="s">
        <v>56</v>
      </c>
      <c r="C92" s="18" t="s">
        <v>63</v>
      </c>
      <c r="D92" s="11" t="s">
        <v>170</v>
      </c>
      <c r="E92" s="11" t="s">
        <v>615</v>
      </c>
      <c r="F92" s="27" t="s">
        <v>170</v>
      </c>
      <c r="G92" s="11" t="s">
        <v>616</v>
      </c>
      <c r="H92" s="11" t="s">
        <v>617</v>
      </c>
      <c r="I92" s="24" t="s">
        <v>102</v>
      </c>
      <c r="J92" s="16">
        <v>4.0</v>
      </c>
      <c r="K92" s="11" t="s">
        <v>618</v>
      </c>
      <c r="L92" s="17" t="s">
        <v>103</v>
      </c>
    </row>
    <row r="93" ht="14.25" customHeight="1">
      <c r="A93" s="11" t="s">
        <v>619</v>
      </c>
      <c r="B93" s="11" t="s">
        <v>65</v>
      </c>
      <c r="C93" s="18" t="s">
        <v>63</v>
      </c>
      <c r="D93" s="11" t="s">
        <v>620</v>
      </c>
      <c r="E93" s="11" t="s">
        <v>621</v>
      </c>
      <c r="F93" s="14" t="s">
        <v>36</v>
      </c>
      <c r="G93" s="11" t="s">
        <v>622</v>
      </c>
      <c r="H93" s="11" t="s">
        <v>623</v>
      </c>
      <c r="I93" s="15" t="s">
        <v>42</v>
      </c>
      <c r="J93" s="16">
        <v>4.0</v>
      </c>
      <c r="K93" s="11" t="s">
        <v>625</v>
      </c>
      <c r="L93" s="17" t="s">
        <v>103</v>
      </c>
    </row>
    <row r="94" ht="14.25" customHeight="1">
      <c r="A94" s="11" t="s">
        <v>626</v>
      </c>
      <c r="B94" s="11" t="s">
        <v>65</v>
      </c>
      <c r="C94" s="18" t="s">
        <v>63</v>
      </c>
      <c r="D94" s="11" t="s">
        <v>620</v>
      </c>
      <c r="E94" s="11" t="s">
        <v>627</v>
      </c>
      <c r="F94" s="14" t="s">
        <v>36</v>
      </c>
      <c r="G94" s="11" t="s">
        <v>628</v>
      </c>
      <c r="H94" s="11" t="s">
        <v>629</v>
      </c>
      <c r="I94" s="15" t="s">
        <v>42</v>
      </c>
      <c r="J94" s="16">
        <v>4.0</v>
      </c>
      <c r="K94" s="11" t="s">
        <v>630</v>
      </c>
      <c r="L94" s="17" t="s">
        <v>103</v>
      </c>
    </row>
    <row r="95" ht="14.25" customHeight="1">
      <c r="A95" s="11" t="s">
        <v>631</v>
      </c>
      <c r="B95" s="11" t="s">
        <v>65</v>
      </c>
      <c r="C95" s="18" t="s">
        <v>63</v>
      </c>
      <c r="D95" s="11" t="s">
        <v>620</v>
      </c>
      <c r="E95" s="11" t="s">
        <v>632</v>
      </c>
      <c r="F95" s="14" t="s">
        <v>36</v>
      </c>
      <c r="G95" s="11" t="s">
        <v>633</v>
      </c>
      <c r="H95" s="11" t="s">
        <v>634</v>
      </c>
      <c r="I95" s="24" t="s">
        <v>102</v>
      </c>
      <c r="J95" s="16">
        <v>4.0</v>
      </c>
      <c r="K95" s="11" t="s">
        <v>635</v>
      </c>
      <c r="L95" s="17" t="s">
        <v>103</v>
      </c>
    </row>
    <row r="96" ht="14.25" customHeight="1">
      <c r="A96" s="11" t="s">
        <v>636</v>
      </c>
      <c r="B96" s="11" t="s">
        <v>65</v>
      </c>
      <c r="C96" s="18" t="s">
        <v>63</v>
      </c>
      <c r="D96" s="11" t="s">
        <v>637</v>
      </c>
      <c r="E96" s="11" t="s">
        <v>638</v>
      </c>
      <c r="F96" s="14" t="s">
        <v>36</v>
      </c>
      <c r="G96" s="11" t="s">
        <v>639</v>
      </c>
      <c r="H96" s="11" t="s">
        <v>640</v>
      </c>
      <c r="I96" s="24" t="s">
        <v>102</v>
      </c>
      <c r="J96" s="16">
        <v>5.0</v>
      </c>
      <c r="K96" s="11" t="s">
        <v>641</v>
      </c>
      <c r="L96" s="17" t="s">
        <v>103</v>
      </c>
    </row>
    <row r="97" ht="14.25" customHeight="1">
      <c r="A97" s="11" t="s">
        <v>642</v>
      </c>
      <c r="B97" s="11" t="s">
        <v>65</v>
      </c>
      <c r="C97" s="18" t="s">
        <v>63</v>
      </c>
      <c r="D97" s="11" t="s">
        <v>637</v>
      </c>
      <c r="E97" s="11" t="s">
        <v>643</v>
      </c>
      <c r="F97" s="14" t="s">
        <v>36</v>
      </c>
      <c r="G97" s="11" t="s">
        <v>644</v>
      </c>
      <c r="H97" s="11" t="s">
        <v>645</v>
      </c>
      <c r="I97" s="15" t="s">
        <v>42</v>
      </c>
      <c r="J97" s="16">
        <v>4.0</v>
      </c>
      <c r="K97" s="11" t="s">
        <v>646</v>
      </c>
      <c r="L97" s="17" t="s">
        <v>103</v>
      </c>
    </row>
    <row r="98" ht="14.25" customHeight="1">
      <c r="A98" s="11" t="s">
        <v>647</v>
      </c>
      <c r="B98" s="11" t="s">
        <v>65</v>
      </c>
      <c r="C98" s="18" t="s">
        <v>63</v>
      </c>
      <c r="D98" s="11" t="s">
        <v>114</v>
      </c>
      <c r="E98" s="11" t="s">
        <v>648</v>
      </c>
      <c r="F98" s="14" t="s">
        <v>36</v>
      </c>
      <c r="G98" s="11" t="s">
        <v>649</v>
      </c>
      <c r="H98" s="11" t="s">
        <v>650</v>
      </c>
      <c r="I98" s="24" t="s">
        <v>102</v>
      </c>
      <c r="J98" s="16">
        <v>4.0</v>
      </c>
      <c r="K98" s="11" t="s">
        <v>651</v>
      </c>
      <c r="L98" s="17" t="s">
        <v>103</v>
      </c>
    </row>
    <row r="99" ht="14.25" customHeight="1">
      <c r="A99" s="11" t="s">
        <v>652</v>
      </c>
      <c r="B99" s="11" t="s">
        <v>65</v>
      </c>
      <c r="C99" s="18" t="s">
        <v>63</v>
      </c>
      <c r="D99" s="11" t="s">
        <v>653</v>
      </c>
      <c r="E99" s="11" t="s">
        <v>654</v>
      </c>
      <c r="F99" s="25" t="s">
        <v>127</v>
      </c>
      <c r="G99" s="11" t="s">
        <v>655</v>
      </c>
      <c r="H99" s="11" t="s">
        <v>656</v>
      </c>
      <c r="I99" s="15" t="s">
        <v>42</v>
      </c>
      <c r="J99" s="16">
        <v>6.0</v>
      </c>
      <c r="K99" s="11" t="s">
        <v>657</v>
      </c>
      <c r="L99" s="17" t="s">
        <v>103</v>
      </c>
    </row>
    <row r="100" ht="14.25" customHeight="1">
      <c r="A100" s="11" t="s">
        <v>658</v>
      </c>
      <c r="B100" s="11" t="s">
        <v>65</v>
      </c>
      <c r="C100" s="18" t="s">
        <v>63</v>
      </c>
      <c r="D100" s="11" t="s">
        <v>653</v>
      </c>
      <c r="E100" s="11" t="s">
        <v>659</v>
      </c>
      <c r="F100" s="25" t="s">
        <v>127</v>
      </c>
      <c r="G100" s="11" t="s">
        <v>660</v>
      </c>
      <c r="H100" s="11" t="s">
        <v>661</v>
      </c>
      <c r="I100" s="15" t="s">
        <v>42</v>
      </c>
      <c r="J100" s="16">
        <v>5.0</v>
      </c>
      <c r="K100" s="11" t="s">
        <v>662</v>
      </c>
      <c r="L100" s="17" t="s">
        <v>103</v>
      </c>
    </row>
    <row r="101" ht="14.25" customHeight="1">
      <c r="A101" s="11" t="s">
        <v>663</v>
      </c>
      <c r="B101" s="11" t="s">
        <v>65</v>
      </c>
      <c r="C101" s="18" t="s">
        <v>63</v>
      </c>
      <c r="D101" s="11" t="s">
        <v>653</v>
      </c>
      <c r="E101" s="11" t="s">
        <v>664</v>
      </c>
      <c r="F101" s="25" t="s">
        <v>127</v>
      </c>
      <c r="G101" s="11" t="s">
        <v>665</v>
      </c>
      <c r="H101" s="11" t="s">
        <v>666</v>
      </c>
      <c r="I101" s="15" t="s">
        <v>42</v>
      </c>
      <c r="J101" s="16">
        <v>4.0</v>
      </c>
      <c r="K101" s="11" t="s">
        <v>667</v>
      </c>
      <c r="L101" s="17" t="s">
        <v>103</v>
      </c>
    </row>
    <row r="102" ht="14.25" customHeight="1">
      <c r="A102" s="11" t="s">
        <v>668</v>
      </c>
      <c r="B102" s="11" t="s">
        <v>65</v>
      </c>
      <c r="C102" s="18" t="s">
        <v>63</v>
      </c>
      <c r="D102" s="11" t="s">
        <v>669</v>
      </c>
      <c r="E102" s="11" t="s">
        <v>670</v>
      </c>
      <c r="F102" s="25" t="s">
        <v>127</v>
      </c>
      <c r="G102" s="11" t="s">
        <v>671</v>
      </c>
      <c r="H102" s="11" t="s">
        <v>672</v>
      </c>
      <c r="I102" s="24" t="s">
        <v>102</v>
      </c>
      <c r="J102" s="16">
        <v>4.0</v>
      </c>
      <c r="K102" s="11" t="s">
        <v>673</v>
      </c>
      <c r="L102" s="17" t="s">
        <v>103</v>
      </c>
    </row>
    <row r="103" ht="14.25" customHeight="1">
      <c r="A103" s="11" t="s">
        <v>674</v>
      </c>
      <c r="B103" s="11" t="s">
        <v>65</v>
      </c>
      <c r="C103" s="18" t="s">
        <v>63</v>
      </c>
      <c r="D103" s="11" t="s">
        <v>675</v>
      </c>
      <c r="E103" s="11" t="s">
        <v>676</v>
      </c>
      <c r="F103" s="25" t="s">
        <v>127</v>
      </c>
      <c r="G103" s="11" t="s">
        <v>677</v>
      </c>
      <c r="H103" s="11" t="s">
        <v>678</v>
      </c>
      <c r="I103" s="24" t="s">
        <v>102</v>
      </c>
      <c r="J103" s="16">
        <v>5.0</v>
      </c>
      <c r="K103" s="11" t="s">
        <v>679</v>
      </c>
      <c r="L103" s="17" t="s">
        <v>103</v>
      </c>
    </row>
    <row r="104" ht="14.25" customHeight="1">
      <c r="A104" s="11" t="s">
        <v>680</v>
      </c>
      <c r="B104" s="11" t="s">
        <v>65</v>
      </c>
      <c r="C104" s="18" t="s">
        <v>63</v>
      </c>
      <c r="D104" s="11" t="s">
        <v>681</v>
      </c>
      <c r="E104" s="11" t="s">
        <v>682</v>
      </c>
      <c r="F104" s="25" t="s">
        <v>127</v>
      </c>
      <c r="G104" s="11" t="s">
        <v>683</v>
      </c>
      <c r="H104" s="11" t="s">
        <v>684</v>
      </c>
      <c r="I104" s="15" t="s">
        <v>42</v>
      </c>
      <c r="J104" s="16">
        <v>5.0</v>
      </c>
      <c r="K104" s="11" t="s">
        <v>685</v>
      </c>
      <c r="L104" s="17" t="s">
        <v>103</v>
      </c>
    </row>
    <row r="105" ht="14.25" customHeight="1">
      <c r="A105" s="11" t="s">
        <v>686</v>
      </c>
      <c r="B105" s="11" t="s">
        <v>65</v>
      </c>
      <c r="C105" s="18" t="s">
        <v>63</v>
      </c>
      <c r="D105" s="11" t="s">
        <v>159</v>
      </c>
      <c r="E105" s="11" t="s">
        <v>687</v>
      </c>
      <c r="F105" s="25" t="s">
        <v>127</v>
      </c>
      <c r="G105" s="11" t="s">
        <v>688</v>
      </c>
      <c r="H105" s="11" t="s">
        <v>689</v>
      </c>
      <c r="I105" s="24" t="s">
        <v>102</v>
      </c>
      <c r="J105" s="16">
        <v>4.0</v>
      </c>
      <c r="K105" s="11" t="s">
        <v>651</v>
      </c>
      <c r="L105" s="17" t="s">
        <v>103</v>
      </c>
    </row>
    <row r="106" ht="14.25" customHeight="1">
      <c r="A106" s="11" t="s">
        <v>690</v>
      </c>
      <c r="B106" s="11" t="s">
        <v>65</v>
      </c>
      <c r="C106" s="18" t="s">
        <v>63</v>
      </c>
      <c r="D106" s="11" t="s">
        <v>170</v>
      </c>
      <c r="E106" s="11" t="s">
        <v>691</v>
      </c>
      <c r="F106" s="27" t="s">
        <v>170</v>
      </c>
      <c r="G106" s="11" t="s">
        <v>692</v>
      </c>
      <c r="H106" s="11" t="s">
        <v>693</v>
      </c>
      <c r="I106" s="15" t="s">
        <v>42</v>
      </c>
      <c r="J106" s="16">
        <v>5.0</v>
      </c>
      <c r="K106" s="11" t="s">
        <v>694</v>
      </c>
      <c r="L106" s="35" t="s">
        <v>96</v>
      </c>
    </row>
    <row r="107" ht="14.25" customHeight="1">
      <c r="A107" s="11" t="s">
        <v>695</v>
      </c>
      <c r="B107" s="11" t="s">
        <v>72</v>
      </c>
      <c r="C107" s="18" t="s">
        <v>63</v>
      </c>
      <c r="D107" s="11" t="s">
        <v>696</v>
      </c>
      <c r="E107" s="11" t="s">
        <v>697</v>
      </c>
      <c r="F107" s="14" t="s">
        <v>36</v>
      </c>
      <c r="G107" s="11" t="s">
        <v>698</v>
      </c>
      <c r="H107" s="11" t="s">
        <v>699</v>
      </c>
      <c r="I107" s="15" t="s">
        <v>42</v>
      </c>
      <c r="J107" s="16">
        <v>4.0</v>
      </c>
      <c r="K107" s="11" t="s">
        <v>700</v>
      </c>
      <c r="L107" s="17" t="s">
        <v>103</v>
      </c>
    </row>
    <row r="108" ht="14.25" customHeight="1">
      <c r="A108" s="11" t="s">
        <v>701</v>
      </c>
      <c r="B108" s="11" t="s">
        <v>72</v>
      </c>
      <c r="C108" s="18" t="s">
        <v>63</v>
      </c>
      <c r="D108" s="11" t="s">
        <v>696</v>
      </c>
      <c r="E108" s="11" t="s">
        <v>702</v>
      </c>
      <c r="F108" s="14" t="s">
        <v>36</v>
      </c>
      <c r="G108" s="11" t="s">
        <v>703</v>
      </c>
      <c r="H108" s="11" t="s">
        <v>704</v>
      </c>
      <c r="I108" s="15" t="s">
        <v>42</v>
      </c>
      <c r="J108" s="16">
        <v>3.0</v>
      </c>
      <c r="K108" s="11" t="s">
        <v>705</v>
      </c>
      <c r="L108" s="17" t="s">
        <v>103</v>
      </c>
    </row>
    <row r="109" ht="14.25" customHeight="1">
      <c r="A109" s="11" t="s">
        <v>706</v>
      </c>
      <c r="B109" s="11" t="s">
        <v>72</v>
      </c>
      <c r="C109" s="18" t="s">
        <v>63</v>
      </c>
      <c r="D109" s="11" t="s">
        <v>696</v>
      </c>
      <c r="E109" s="11" t="s">
        <v>707</v>
      </c>
      <c r="F109" s="14" t="s">
        <v>36</v>
      </c>
      <c r="G109" s="11" t="s">
        <v>708</v>
      </c>
      <c r="H109" s="11" t="s">
        <v>709</v>
      </c>
      <c r="I109" s="24" t="s">
        <v>102</v>
      </c>
      <c r="J109" s="16">
        <v>3.0</v>
      </c>
      <c r="K109" s="11" t="s">
        <v>710</v>
      </c>
      <c r="L109" s="17" t="s">
        <v>103</v>
      </c>
    </row>
    <row r="110" ht="14.25" customHeight="1">
      <c r="A110" s="11" t="s">
        <v>711</v>
      </c>
      <c r="B110" s="11" t="s">
        <v>72</v>
      </c>
      <c r="C110" s="18" t="s">
        <v>63</v>
      </c>
      <c r="D110" s="11" t="s">
        <v>712</v>
      </c>
      <c r="E110" s="11" t="s">
        <v>713</v>
      </c>
      <c r="F110" s="14" t="s">
        <v>36</v>
      </c>
      <c r="G110" s="11" t="s">
        <v>714</v>
      </c>
      <c r="H110" s="11" t="s">
        <v>715</v>
      </c>
      <c r="I110" s="15" t="s">
        <v>42</v>
      </c>
      <c r="J110" s="16">
        <v>4.0</v>
      </c>
      <c r="K110" s="11" t="s">
        <v>716</v>
      </c>
      <c r="L110" s="17" t="s">
        <v>103</v>
      </c>
    </row>
    <row r="111" ht="14.25" customHeight="1">
      <c r="A111" s="11" t="s">
        <v>718</v>
      </c>
      <c r="B111" s="11" t="s">
        <v>72</v>
      </c>
      <c r="C111" s="18" t="s">
        <v>63</v>
      </c>
      <c r="D111" s="11" t="s">
        <v>712</v>
      </c>
      <c r="E111" s="11" t="s">
        <v>719</v>
      </c>
      <c r="F111" s="14" t="s">
        <v>36</v>
      </c>
      <c r="G111" s="11" t="s">
        <v>720</v>
      </c>
      <c r="H111" s="11" t="s">
        <v>721</v>
      </c>
      <c r="I111" s="15" t="s">
        <v>42</v>
      </c>
      <c r="J111" s="16">
        <v>3.0</v>
      </c>
      <c r="K111" s="11" t="s">
        <v>722</v>
      </c>
      <c r="L111" s="17" t="s">
        <v>103</v>
      </c>
    </row>
    <row r="112" ht="14.25" customHeight="1">
      <c r="A112" s="11" t="s">
        <v>723</v>
      </c>
      <c r="B112" s="11" t="s">
        <v>72</v>
      </c>
      <c r="C112" s="18" t="s">
        <v>63</v>
      </c>
      <c r="D112" s="11" t="s">
        <v>724</v>
      </c>
      <c r="E112" s="11" t="s">
        <v>725</v>
      </c>
      <c r="F112" s="25" t="s">
        <v>127</v>
      </c>
      <c r="G112" s="11" t="s">
        <v>726</v>
      </c>
      <c r="H112" s="11" t="s">
        <v>728</v>
      </c>
      <c r="I112" s="15" t="s">
        <v>42</v>
      </c>
      <c r="J112" s="16">
        <v>8.0</v>
      </c>
      <c r="K112" s="11" t="s">
        <v>729</v>
      </c>
      <c r="L112" s="17" t="s">
        <v>103</v>
      </c>
    </row>
    <row r="113" ht="14.25" customHeight="1">
      <c r="A113" s="11" t="s">
        <v>730</v>
      </c>
      <c r="B113" s="11" t="s">
        <v>72</v>
      </c>
      <c r="C113" s="18" t="s">
        <v>63</v>
      </c>
      <c r="D113" s="11" t="s">
        <v>724</v>
      </c>
      <c r="E113" s="11" t="s">
        <v>731</v>
      </c>
      <c r="F113" s="25" t="s">
        <v>127</v>
      </c>
      <c r="G113" s="11" t="s">
        <v>732</v>
      </c>
      <c r="H113" s="11" t="s">
        <v>733</v>
      </c>
      <c r="I113" s="15" t="s">
        <v>42</v>
      </c>
      <c r="J113" s="16">
        <v>3.0</v>
      </c>
      <c r="K113" s="11" t="s">
        <v>734</v>
      </c>
      <c r="L113" s="17" t="s">
        <v>103</v>
      </c>
    </row>
    <row r="114" ht="14.25" customHeight="1">
      <c r="A114" s="11" t="s">
        <v>735</v>
      </c>
      <c r="B114" s="11" t="s">
        <v>72</v>
      </c>
      <c r="C114" s="18" t="s">
        <v>63</v>
      </c>
      <c r="D114" s="11" t="s">
        <v>724</v>
      </c>
      <c r="E114" s="11" t="s">
        <v>736</v>
      </c>
      <c r="F114" s="25" t="s">
        <v>127</v>
      </c>
      <c r="G114" s="11" t="s">
        <v>737</v>
      </c>
      <c r="H114" s="11" t="s">
        <v>738</v>
      </c>
      <c r="I114" s="15" t="s">
        <v>42</v>
      </c>
      <c r="J114" s="16">
        <v>4.0</v>
      </c>
      <c r="K114" s="11" t="s">
        <v>739</v>
      </c>
      <c r="L114" s="17" t="s">
        <v>103</v>
      </c>
    </row>
    <row r="115" ht="14.25" customHeight="1">
      <c r="A115" s="11" t="s">
        <v>740</v>
      </c>
      <c r="B115" s="11" t="s">
        <v>72</v>
      </c>
      <c r="C115" s="18" t="s">
        <v>63</v>
      </c>
      <c r="D115" s="11" t="s">
        <v>724</v>
      </c>
      <c r="E115" s="11" t="s">
        <v>741</v>
      </c>
      <c r="F115" s="25" t="s">
        <v>127</v>
      </c>
      <c r="G115" s="11" t="s">
        <v>742</v>
      </c>
      <c r="H115" s="11" t="s">
        <v>743</v>
      </c>
      <c r="I115" s="15" t="s">
        <v>42</v>
      </c>
      <c r="J115" s="16">
        <v>5.0</v>
      </c>
      <c r="K115" s="11" t="s">
        <v>744</v>
      </c>
      <c r="L115" s="17" t="s">
        <v>103</v>
      </c>
    </row>
    <row r="116" ht="14.25" customHeight="1">
      <c r="A116" s="11" t="s">
        <v>745</v>
      </c>
      <c r="B116" s="11" t="s">
        <v>72</v>
      </c>
      <c r="C116" s="18" t="s">
        <v>63</v>
      </c>
      <c r="D116" s="11" t="s">
        <v>746</v>
      </c>
      <c r="E116" s="11" t="s">
        <v>747</v>
      </c>
      <c r="F116" s="25" t="s">
        <v>127</v>
      </c>
      <c r="G116" s="11" t="s">
        <v>748</v>
      </c>
      <c r="H116" s="11" t="s">
        <v>749</v>
      </c>
      <c r="I116" s="15" t="s">
        <v>42</v>
      </c>
      <c r="J116" s="16">
        <v>8.0</v>
      </c>
      <c r="K116" s="11" t="s">
        <v>750</v>
      </c>
      <c r="L116" s="17" t="s">
        <v>103</v>
      </c>
    </row>
    <row r="117" ht="14.25" customHeight="1">
      <c r="A117" s="11" t="s">
        <v>751</v>
      </c>
      <c r="B117" s="11" t="s">
        <v>72</v>
      </c>
      <c r="C117" s="18" t="s">
        <v>63</v>
      </c>
      <c r="D117" s="11" t="s">
        <v>746</v>
      </c>
      <c r="E117" s="11" t="s">
        <v>752</v>
      </c>
      <c r="F117" s="25" t="s">
        <v>127</v>
      </c>
      <c r="G117" s="11" t="s">
        <v>753</v>
      </c>
      <c r="H117" s="11" t="s">
        <v>754</v>
      </c>
      <c r="I117" s="15" t="s">
        <v>42</v>
      </c>
      <c r="J117" s="16">
        <v>5.0</v>
      </c>
      <c r="K117" s="11" t="s">
        <v>755</v>
      </c>
      <c r="L117" s="17" t="s">
        <v>103</v>
      </c>
    </row>
    <row r="118" ht="14.25" customHeight="1">
      <c r="A118" s="11" t="s">
        <v>756</v>
      </c>
      <c r="B118" s="11" t="s">
        <v>72</v>
      </c>
      <c r="C118" s="18" t="s">
        <v>63</v>
      </c>
      <c r="D118" s="11" t="s">
        <v>746</v>
      </c>
      <c r="E118" s="11" t="s">
        <v>757</v>
      </c>
      <c r="F118" s="25" t="s">
        <v>127</v>
      </c>
      <c r="G118" s="11" t="s">
        <v>758</v>
      </c>
      <c r="H118" s="11" t="s">
        <v>759</v>
      </c>
      <c r="I118" s="15" t="s">
        <v>42</v>
      </c>
      <c r="J118" s="16">
        <v>5.0</v>
      </c>
      <c r="K118" s="11" t="s">
        <v>760</v>
      </c>
      <c r="L118" s="17" t="s">
        <v>103</v>
      </c>
    </row>
    <row r="119" ht="14.25" customHeight="1">
      <c r="A119" s="11" t="s">
        <v>761</v>
      </c>
      <c r="B119" s="11" t="s">
        <v>72</v>
      </c>
      <c r="C119" s="18" t="s">
        <v>63</v>
      </c>
      <c r="D119" s="11" t="s">
        <v>746</v>
      </c>
      <c r="E119" s="11" t="s">
        <v>762</v>
      </c>
      <c r="F119" s="25" t="s">
        <v>127</v>
      </c>
      <c r="G119" s="11" t="s">
        <v>763</v>
      </c>
      <c r="H119" s="11" t="s">
        <v>764</v>
      </c>
      <c r="I119" s="24" t="s">
        <v>102</v>
      </c>
      <c r="J119" s="16">
        <v>4.0</v>
      </c>
      <c r="K119" s="11" t="s">
        <v>765</v>
      </c>
      <c r="L119" s="17" t="s">
        <v>103</v>
      </c>
    </row>
    <row r="120" ht="14.25" customHeight="1">
      <c r="A120" s="11" t="s">
        <v>766</v>
      </c>
      <c r="B120" s="11" t="s">
        <v>72</v>
      </c>
      <c r="C120" s="18" t="s">
        <v>63</v>
      </c>
      <c r="D120" s="11" t="s">
        <v>170</v>
      </c>
      <c r="E120" s="11" t="s">
        <v>768</v>
      </c>
      <c r="F120" s="27" t="s">
        <v>170</v>
      </c>
      <c r="G120" s="11" t="s">
        <v>769</v>
      </c>
      <c r="H120" s="11" t="s">
        <v>770</v>
      </c>
      <c r="I120" s="24" t="s">
        <v>102</v>
      </c>
      <c r="J120" s="16">
        <v>4.0</v>
      </c>
      <c r="K120" s="11" t="s">
        <v>772</v>
      </c>
      <c r="L120" s="17" t="s">
        <v>103</v>
      </c>
    </row>
    <row r="121" ht="14.25" customHeight="1">
      <c r="A121" s="11" t="s">
        <v>773</v>
      </c>
      <c r="B121" s="11" t="s">
        <v>80</v>
      </c>
      <c r="C121" s="18" t="s">
        <v>63</v>
      </c>
      <c r="D121" s="11" t="s">
        <v>774</v>
      </c>
      <c r="E121" s="11" t="s">
        <v>775</v>
      </c>
      <c r="F121" s="14" t="s">
        <v>36</v>
      </c>
      <c r="G121" s="11" t="s">
        <v>776</v>
      </c>
      <c r="H121" s="11" t="s">
        <v>777</v>
      </c>
      <c r="I121" s="24" t="s">
        <v>102</v>
      </c>
      <c r="J121" s="16">
        <v>4.0</v>
      </c>
      <c r="K121" s="11" t="s">
        <v>778</v>
      </c>
      <c r="L121" s="17" t="s">
        <v>103</v>
      </c>
    </row>
    <row r="122" ht="14.25" customHeight="1">
      <c r="A122" s="11" t="s">
        <v>779</v>
      </c>
      <c r="B122" s="11" t="s">
        <v>80</v>
      </c>
      <c r="C122" s="18" t="s">
        <v>63</v>
      </c>
      <c r="D122" s="11" t="s">
        <v>774</v>
      </c>
      <c r="E122" s="11" t="s">
        <v>780</v>
      </c>
      <c r="F122" s="14" t="s">
        <v>36</v>
      </c>
      <c r="G122" s="11" t="s">
        <v>782</v>
      </c>
      <c r="H122" s="11" t="s">
        <v>783</v>
      </c>
      <c r="I122" s="24" t="s">
        <v>102</v>
      </c>
      <c r="J122" s="16">
        <v>3.0</v>
      </c>
      <c r="K122" s="11" t="s">
        <v>784</v>
      </c>
      <c r="L122" s="17" t="s">
        <v>103</v>
      </c>
    </row>
    <row r="123" ht="14.25" customHeight="1">
      <c r="A123" s="11" t="s">
        <v>785</v>
      </c>
      <c r="B123" s="11" t="s">
        <v>80</v>
      </c>
      <c r="C123" s="18" t="s">
        <v>63</v>
      </c>
      <c r="D123" s="11" t="s">
        <v>786</v>
      </c>
      <c r="E123" s="11" t="s">
        <v>787</v>
      </c>
      <c r="F123" s="14" t="s">
        <v>36</v>
      </c>
      <c r="G123" s="11" t="s">
        <v>788</v>
      </c>
      <c r="H123" s="11" t="s">
        <v>789</v>
      </c>
      <c r="I123" s="24" t="s">
        <v>102</v>
      </c>
      <c r="J123" s="16">
        <v>4.0</v>
      </c>
      <c r="K123" s="11" t="s">
        <v>790</v>
      </c>
      <c r="L123" s="17" t="s">
        <v>103</v>
      </c>
    </row>
    <row r="124" ht="14.25" customHeight="1">
      <c r="A124" s="11" t="s">
        <v>791</v>
      </c>
      <c r="B124" s="11" t="s">
        <v>80</v>
      </c>
      <c r="C124" s="18" t="s">
        <v>63</v>
      </c>
      <c r="D124" s="11" t="s">
        <v>793</v>
      </c>
      <c r="E124" s="11" t="s">
        <v>794</v>
      </c>
      <c r="F124" s="14" t="s">
        <v>36</v>
      </c>
      <c r="G124" s="11" t="s">
        <v>795</v>
      </c>
      <c r="H124" s="11" t="s">
        <v>796</v>
      </c>
      <c r="I124" s="15" t="s">
        <v>42</v>
      </c>
      <c r="J124" s="16">
        <v>4.0</v>
      </c>
      <c r="K124" s="11" t="s">
        <v>797</v>
      </c>
      <c r="L124" s="17" t="s">
        <v>103</v>
      </c>
    </row>
    <row r="125" ht="14.25" customHeight="1">
      <c r="A125" s="11" t="s">
        <v>798</v>
      </c>
      <c r="B125" s="11" t="s">
        <v>80</v>
      </c>
      <c r="C125" s="18" t="s">
        <v>63</v>
      </c>
      <c r="D125" s="11" t="s">
        <v>799</v>
      </c>
      <c r="E125" s="11" t="s">
        <v>800</v>
      </c>
      <c r="F125" s="14" t="s">
        <v>36</v>
      </c>
      <c r="G125" s="11" t="s">
        <v>801</v>
      </c>
      <c r="H125" s="11" t="s">
        <v>802</v>
      </c>
      <c r="I125" s="24" t="s">
        <v>102</v>
      </c>
      <c r="J125" s="16">
        <v>4.0</v>
      </c>
      <c r="K125" s="11" t="s">
        <v>803</v>
      </c>
      <c r="L125" s="17" t="s">
        <v>103</v>
      </c>
    </row>
    <row r="126" ht="14.25" customHeight="1">
      <c r="A126" s="11" t="s">
        <v>805</v>
      </c>
      <c r="B126" s="11" t="s">
        <v>80</v>
      </c>
      <c r="C126" s="18" t="s">
        <v>63</v>
      </c>
      <c r="D126" s="11" t="s">
        <v>806</v>
      </c>
      <c r="E126" s="11" t="s">
        <v>807</v>
      </c>
      <c r="F126" s="36" t="s">
        <v>490</v>
      </c>
      <c r="G126" s="11" t="s">
        <v>808</v>
      </c>
      <c r="H126" s="11" t="s">
        <v>809</v>
      </c>
      <c r="I126" s="15" t="s">
        <v>42</v>
      </c>
      <c r="J126" s="16">
        <v>5.0</v>
      </c>
      <c r="K126" s="11" t="s">
        <v>810</v>
      </c>
      <c r="L126" s="35" t="s">
        <v>96</v>
      </c>
    </row>
    <row r="127" ht="14.25" customHeight="1">
      <c r="A127" s="11" t="s">
        <v>811</v>
      </c>
      <c r="B127" s="11" t="s">
        <v>80</v>
      </c>
      <c r="C127" s="18" t="s">
        <v>63</v>
      </c>
      <c r="D127" s="11" t="s">
        <v>806</v>
      </c>
      <c r="E127" s="11" t="s">
        <v>812</v>
      </c>
      <c r="F127" s="25" t="s">
        <v>127</v>
      </c>
      <c r="G127" s="11" t="s">
        <v>813</v>
      </c>
      <c r="H127" s="11" t="s">
        <v>814</v>
      </c>
      <c r="I127" s="15" t="s">
        <v>42</v>
      </c>
      <c r="J127" s="16">
        <v>6.0</v>
      </c>
      <c r="K127" s="11" t="s">
        <v>816</v>
      </c>
      <c r="L127" s="17" t="s">
        <v>103</v>
      </c>
    </row>
    <row r="128" ht="14.25" customHeight="1">
      <c r="A128" s="11" t="s">
        <v>817</v>
      </c>
      <c r="B128" s="11" t="s">
        <v>80</v>
      </c>
      <c r="C128" s="18" t="s">
        <v>63</v>
      </c>
      <c r="D128" s="11" t="s">
        <v>806</v>
      </c>
      <c r="E128" s="11" t="s">
        <v>818</v>
      </c>
      <c r="F128" s="25" t="s">
        <v>127</v>
      </c>
      <c r="G128" s="11" t="s">
        <v>819</v>
      </c>
      <c r="H128" s="11" t="s">
        <v>820</v>
      </c>
      <c r="I128" s="24" t="s">
        <v>102</v>
      </c>
      <c r="J128" s="16">
        <v>4.0</v>
      </c>
      <c r="K128" s="11" t="s">
        <v>821</v>
      </c>
      <c r="L128" s="35" t="s">
        <v>96</v>
      </c>
    </row>
    <row r="129" ht="14.25" customHeight="1">
      <c r="A129" s="11" t="s">
        <v>822</v>
      </c>
      <c r="B129" s="11" t="s">
        <v>80</v>
      </c>
      <c r="C129" s="18" t="s">
        <v>63</v>
      </c>
      <c r="D129" s="11" t="s">
        <v>823</v>
      </c>
      <c r="E129" s="11" t="s">
        <v>824</v>
      </c>
      <c r="F129" s="25" t="s">
        <v>127</v>
      </c>
      <c r="G129" s="11" t="s">
        <v>825</v>
      </c>
      <c r="H129" s="11" t="s">
        <v>826</v>
      </c>
      <c r="I129" s="15" t="s">
        <v>42</v>
      </c>
      <c r="J129" s="16">
        <v>6.0</v>
      </c>
      <c r="K129" s="11" t="s">
        <v>827</v>
      </c>
      <c r="L129" s="17" t="s">
        <v>103</v>
      </c>
    </row>
    <row r="130" ht="14.25" customHeight="1">
      <c r="A130" s="11" t="s">
        <v>828</v>
      </c>
      <c r="B130" s="11" t="s">
        <v>80</v>
      </c>
      <c r="C130" s="18" t="s">
        <v>63</v>
      </c>
      <c r="D130" s="11" t="s">
        <v>823</v>
      </c>
      <c r="E130" s="11" t="s">
        <v>829</v>
      </c>
      <c r="F130" s="25" t="s">
        <v>127</v>
      </c>
      <c r="G130" s="11" t="s">
        <v>830</v>
      </c>
      <c r="H130" s="11" t="s">
        <v>831</v>
      </c>
      <c r="I130" s="15" t="s">
        <v>42</v>
      </c>
      <c r="J130" s="16">
        <v>4.0</v>
      </c>
      <c r="K130" s="11" t="s">
        <v>832</v>
      </c>
      <c r="L130" s="17" t="s">
        <v>103</v>
      </c>
    </row>
    <row r="131" ht="14.25" customHeight="1">
      <c r="A131" s="11" t="s">
        <v>833</v>
      </c>
      <c r="B131" s="11" t="s">
        <v>80</v>
      </c>
      <c r="C131" s="18" t="s">
        <v>63</v>
      </c>
      <c r="D131" s="11" t="s">
        <v>823</v>
      </c>
      <c r="E131" s="11" t="s">
        <v>834</v>
      </c>
      <c r="F131" s="25" t="s">
        <v>127</v>
      </c>
      <c r="G131" s="11" t="s">
        <v>835</v>
      </c>
      <c r="H131" s="11" t="s">
        <v>836</v>
      </c>
      <c r="I131" s="15" t="s">
        <v>42</v>
      </c>
      <c r="J131" s="16">
        <v>4.0</v>
      </c>
      <c r="K131" s="11" t="s">
        <v>837</v>
      </c>
      <c r="L131" s="17" t="s">
        <v>103</v>
      </c>
    </row>
    <row r="132" ht="14.25" customHeight="1">
      <c r="A132" s="11" t="s">
        <v>838</v>
      </c>
      <c r="B132" s="11" t="s">
        <v>80</v>
      </c>
      <c r="C132" s="18" t="s">
        <v>63</v>
      </c>
      <c r="D132" s="11" t="s">
        <v>379</v>
      </c>
      <c r="E132" s="11" t="s">
        <v>839</v>
      </c>
      <c r="F132" s="25" t="s">
        <v>127</v>
      </c>
      <c r="G132" s="11" t="s">
        <v>840</v>
      </c>
      <c r="H132" s="11" t="s">
        <v>841</v>
      </c>
      <c r="I132" s="15" t="s">
        <v>42</v>
      </c>
      <c r="J132" s="16">
        <v>8.0</v>
      </c>
      <c r="K132" s="11" t="s">
        <v>842</v>
      </c>
      <c r="L132" s="35" t="s">
        <v>96</v>
      </c>
    </row>
    <row r="133" ht="14.25" customHeight="1">
      <c r="A133" s="11" t="s">
        <v>843</v>
      </c>
      <c r="B133" s="11" t="s">
        <v>80</v>
      </c>
      <c r="C133" s="18" t="s">
        <v>63</v>
      </c>
      <c r="D133" s="11" t="s">
        <v>379</v>
      </c>
      <c r="E133" s="11" t="s">
        <v>844</v>
      </c>
      <c r="F133" s="36" t="s">
        <v>490</v>
      </c>
      <c r="G133" s="11" t="s">
        <v>845</v>
      </c>
      <c r="H133" s="11" t="s">
        <v>846</v>
      </c>
      <c r="I133" s="15" t="s">
        <v>42</v>
      </c>
      <c r="J133" s="16">
        <v>6.0</v>
      </c>
      <c r="K133" s="11" t="s">
        <v>847</v>
      </c>
      <c r="L133" s="35" t="s">
        <v>96</v>
      </c>
    </row>
    <row r="134" ht="14.25" customHeight="1">
      <c r="A134" s="11" t="s">
        <v>848</v>
      </c>
      <c r="B134" s="11" t="s">
        <v>80</v>
      </c>
      <c r="C134" s="18" t="s">
        <v>63</v>
      </c>
      <c r="D134" s="11" t="s">
        <v>849</v>
      </c>
      <c r="E134" s="11" t="s">
        <v>850</v>
      </c>
      <c r="F134" s="25" t="s">
        <v>127</v>
      </c>
      <c r="G134" s="11" t="s">
        <v>851</v>
      </c>
      <c r="H134" s="11" t="s">
        <v>852</v>
      </c>
      <c r="I134" s="15" t="s">
        <v>42</v>
      </c>
      <c r="J134" s="16">
        <v>4.0</v>
      </c>
      <c r="K134" s="11" t="s">
        <v>853</v>
      </c>
      <c r="L134" s="35" t="s">
        <v>96</v>
      </c>
    </row>
    <row r="135" ht="14.25" customHeight="1">
      <c r="A135" s="11" t="s">
        <v>854</v>
      </c>
      <c r="B135" s="11" t="s">
        <v>80</v>
      </c>
      <c r="C135" s="18" t="s">
        <v>63</v>
      </c>
      <c r="D135" s="11" t="s">
        <v>849</v>
      </c>
      <c r="E135" s="11" t="s">
        <v>855</v>
      </c>
      <c r="F135" s="25" t="s">
        <v>127</v>
      </c>
      <c r="G135" s="11" t="s">
        <v>856</v>
      </c>
      <c r="H135" s="11" t="s">
        <v>857</v>
      </c>
      <c r="I135" s="15" t="s">
        <v>42</v>
      </c>
      <c r="J135" s="16">
        <v>5.0</v>
      </c>
      <c r="K135" s="11" t="s">
        <v>858</v>
      </c>
      <c r="L135" s="35" t="s">
        <v>96</v>
      </c>
    </row>
    <row r="136" ht="14.25" customHeight="1">
      <c r="A136" s="11" t="s">
        <v>859</v>
      </c>
      <c r="B136" s="11" t="s">
        <v>80</v>
      </c>
      <c r="C136" s="18" t="s">
        <v>63</v>
      </c>
      <c r="D136" s="11" t="s">
        <v>849</v>
      </c>
      <c r="E136" s="11" t="s">
        <v>860</v>
      </c>
      <c r="F136" s="25" t="s">
        <v>127</v>
      </c>
      <c r="G136" s="11" t="s">
        <v>861</v>
      </c>
      <c r="H136" s="11" t="s">
        <v>862</v>
      </c>
      <c r="I136" s="24" t="s">
        <v>102</v>
      </c>
      <c r="J136" s="16">
        <v>4.0</v>
      </c>
      <c r="K136" s="11" t="s">
        <v>863</v>
      </c>
      <c r="L136" s="35" t="s">
        <v>96</v>
      </c>
    </row>
    <row r="137" ht="14.25" customHeight="1">
      <c r="A137" s="11" t="s">
        <v>864</v>
      </c>
      <c r="B137" s="11" t="s">
        <v>80</v>
      </c>
      <c r="C137" s="18" t="s">
        <v>63</v>
      </c>
      <c r="D137" s="11" t="s">
        <v>170</v>
      </c>
      <c r="E137" s="11" t="s">
        <v>865</v>
      </c>
      <c r="F137" s="27" t="s">
        <v>170</v>
      </c>
      <c r="G137" s="11" t="s">
        <v>866</v>
      </c>
      <c r="H137" s="11" t="s">
        <v>867</v>
      </c>
      <c r="I137" s="15" t="s">
        <v>42</v>
      </c>
      <c r="J137" s="16">
        <v>5.0</v>
      </c>
      <c r="K137" s="11" t="s">
        <v>868</v>
      </c>
      <c r="L137" s="17" t="s">
        <v>103</v>
      </c>
    </row>
    <row r="138" ht="14.25" customHeight="1">
      <c r="J138" s="39"/>
    </row>
    <row r="139" ht="14.25" customHeight="1">
      <c r="J139" s="39"/>
    </row>
    <row r="140" ht="14.25" customHeight="1">
      <c r="J140" s="39"/>
    </row>
    <row r="141" ht="14.25" customHeight="1">
      <c r="J141" s="39"/>
    </row>
    <row r="142" ht="14.25" customHeight="1">
      <c r="J142" s="39"/>
    </row>
    <row r="143" ht="14.25" customHeight="1">
      <c r="J143" s="39"/>
    </row>
    <row r="144" ht="14.25" customHeight="1">
      <c r="J144" s="39"/>
    </row>
    <row r="145" ht="14.25" customHeight="1">
      <c r="J145" s="39"/>
    </row>
    <row r="146" ht="14.25" customHeight="1">
      <c r="J146" s="39"/>
    </row>
    <row r="147" ht="14.25" customHeight="1">
      <c r="J147" s="39"/>
    </row>
    <row r="148" ht="14.25" customHeight="1">
      <c r="J148" s="39"/>
    </row>
    <row r="149" ht="14.25" customHeight="1">
      <c r="J149" s="39"/>
    </row>
    <row r="150" ht="14.25" customHeight="1">
      <c r="J150" s="39"/>
    </row>
    <row r="151" ht="14.25" customHeight="1">
      <c r="J151" s="39"/>
    </row>
    <row r="152" ht="14.25" customHeight="1">
      <c r="J152" s="39"/>
    </row>
    <row r="153" ht="14.25" customHeight="1">
      <c r="J153" s="39"/>
    </row>
    <row r="154" ht="14.25" customHeight="1">
      <c r="J154" s="39"/>
    </row>
    <row r="155" ht="14.25" customHeight="1">
      <c r="J155" s="39"/>
    </row>
    <row r="156" ht="14.25" customHeight="1">
      <c r="J156" s="39"/>
    </row>
    <row r="157" ht="14.25" customHeight="1">
      <c r="J157" s="39"/>
    </row>
    <row r="158" ht="14.25" customHeight="1">
      <c r="J158" s="39"/>
    </row>
    <row r="159" ht="14.25" customHeight="1">
      <c r="J159" s="39"/>
    </row>
    <row r="160" ht="14.25" customHeight="1">
      <c r="J160" s="39"/>
    </row>
    <row r="161" ht="14.25" customHeight="1">
      <c r="J161" s="39"/>
    </row>
    <row r="162" ht="14.25" customHeight="1">
      <c r="J162" s="39"/>
    </row>
    <row r="163" ht="14.25" customHeight="1">
      <c r="J163" s="39"/>
    </row>
    <row r="164" ht="14.25" customHeight="1">
      <c r="J164" s="39"/>
    </row>
    <row r="165" ht="14.25" customHeight="1">
      <c r="J165" s="39"/>
    </row>
    <row r="166" ht="14.25" customHeight="1">
      <c r="J166" s="39"/>
    </row>
    <row r="167" ht="14.25" customHeight="1">
      <c r="J167" s="39"/>
    </row>
    <row r="168" ht="14.25" customHeight="1">
      <c r="J168" s="39"/>
    </row>
    <row r="169" ht="14.25" customHeight="1">
      <c r="J169" s="39"/>
    </row>
    <row r="170" ht="14.25" customHeight="1">
      <c r="J170" s="39"/>
    </row>
    <row r="171" ht="14.25" customHeight="1">
      <c r="J171" s="39"/>
    </row>
    <row r="172" ht="14.25" customHeight="1">
      <c r="J172" s="39"/>
    </row>
    <row r="173" ht="14.25" customHeight="1">
      <c r="J173" s="39"/>
    </row>
    <row r="174" ht="14.25" customHeight="1">
      <c r="J174" s="39"/>
    </row>
    <row r="175" ht="14.25" customHeight="1">
      <c r="J175" s="39"/>
    </row>
    <row r="176" ht="14.25" customHeight="1">
      <c r="J176" s="39"/>
    </row>
    <row r="177" ht="14.25" customHeight="1">
      <c r="J177" s="39"/>
    </row>
    <row r="178" ht="14.25" customHeight="1">
      <c r="J178" s="39"/>
    </row>
    <row r="179" ht="14.25" customHeight="1">
      <c r="J179" s="39"/>
    </row>
    <row r="180" ht="14.25" customHeight="1">
      <c r="J180" s="39"/>
    </row>
    <row r="181" ht="14.25" customHeight="1">
      <c r="J181" s="39"/>
    </row>
    <row r="182" ht="14.25" customHeight="1">
      <c r="J182" s="39"/>
    </row>
    <row r="183" ht="14.25" customHeight="1">
      <c r="J183" s="39"/>
    </row>
    <row r="184" ht="14.25" customHeight="1">
      <c r="J184" s="39"/>
    </row>
    <row r="185" ht="14.25" customHeight="1">
      <c r="J185" s="39"/>
    </row>
    <row r="186" ht="14.25" customHeight="1">
      <c r="J186" s="39"/>
    </row>
    <row r="187" ht="14.25" customHeight="1">
      <c r="J187" s="39"/>
    </row>
    <row r="188" ht="14.25" customHeight="1">
      <c r="J188" s="39"/>
    </row>
    <row r="189" ht="14.25" customHeight="1">
      <c r="J189" s="39"/>
    </row>
    <row r="190" ht="14.25" customHeight="1">
      <c r="J190" s="39"/>
    </row>
    <row r="191" ht="14.25" customHeight="1">
      <c r="J191" s="39"/>
    </row>
    <row r="192" ht="14.25" customHeight="1">
      <c r="J192" s="39"/>
    </row>
    <row r="193" ht="14.25" customHeight="1">
      <c r="J193" s="39"/>
    </row>
    <row r="194" ht="14.25" customHeight="1">
      <c r="J194" s="39"/>
    </row>
    <row r="195" ht="14.25" customHeight="1">
      <c r="J195" s="39"/>
    </row>
    <row r="196" ht="14.25" customHeight="1">
      <c r="J196" s="39"/>
    </row>
    <row r="197" ht="14.25" customHeight="1">
      <c r="J197" s="39"/>
    </row>
    <row r="198" ht="14.25" customHeight="1">
      <c r="J198" s="39"/>
    </row>
    <row r="199" ht="14.25" customHeight="1">
      <c r="J199" s="39"/>
    </row>
    <row r="200" ht="14.25" customHeight="1">
      <c r="J200" s="39"/>
    </row>
    <row r="201" ht="14.25" customHeight="1">
      <c r="J201" s="39"/>
    </row>
    <row r="202" ht="14.25" customHeight="1">
      <c r="J202" s="39"/>
    </row>
    <row r="203" ht="14.25" customHeight="1">
      <c r="J203" s="39"/>
    </row>
    <row r="204" ht="14.25" customHeight="1">
      <c r="J204" s="39"/>
    </row>
    <row r="205" ht="14.25" customHeight="1">
      <c r="J205" s="39"/>
    </row>
    <row r="206" ht="14.25" customHeight="1">
      <c r="J206" s="39"/>
    </row>
    <row r="207" ht="14.25" customHeight="1">
      <c r="J207" s="39"/>
    </row>
    <row r="208" ht="14.25" customHeight="1">
      <c r="J208" s="39"/>
    </row>
    <row r="209" ht="14.25" customHeight="1">
      <c r="J209" s="39"/>
    </row>
    <row r="210" ht="14.25" customHeight="1">
      <c r="J210" s="39"/>
    </row>
    <row r="211" ht="14.25" customHeight="1">
      <c r="J211" s="39"/>
    </row>
    <row r="212" ht="14.25" customHeight="1">
      <c r="J212" s="39"/>
    </row>
    <row r="213" ht="14.25" customHeight="1">
      <c r="J213" s="39"/>
    </row>
    <row r="214" ht="14.25" customHeight="1">
      <c r="J214" s="39"/>
    </row>
    <row r="215" ht="14.25" customHeight="1">
      <c r="J215" s="39"/>
    </row>
    <row r="216" ht="14.25" customHeight="1">
      <c r="J216" s="39"/>
    </row>
    <row r="217" ht="14.25" customHeight="1">
      <c r="J217" s="39"/>
    </row>
    <row r="218" ht="14.25" customHeight="1">
      <c r="J218" s="39"/>
    </row>
    <row r="219" ht="14.25" customHeight="1">
      <c r="J219" s="39"/>
    </row>
    <row r="220" ht="14.25" customHeight="1">
      <c r="J220" s="39"/>
    </row>
    <row r="221" ht="14.25" customHeight="1">
      <c r="J221" s="39"/>
    </row>
    <row r="222" ht="14.25" customHeight="1">
      <c r="J222" s="39"/>
    </row>
    <row r="223" ht="14.25" customHeight="1">
      <c r="J223" s="39"/>
    </row>
    <row r="224" ht="14.25" customHeight="1">
      <c r="J224" s="39"/>
    </row>
    <row r="225" ht="14.25" customHeight="1">
      <c r="J225" s="39"/>
    </row>
    <row r="226" ht="14.25" customHeight="1">
      <c r="J226" s="39"/>
    </row>
    <row r="227" ht="14.25" customHeight="1">
      <c r="J227" s="39"/>
    </row>
    <row r="228" ht="14.25" customHeight="1">
      <c r="J228" s="39"/>
    </row>
    <row r="229" ht="14.25" customHeight="1">
      <c r="J229" s="39"/>
    </row>
    <row r="230" ht="14.25" customHeight="1">
      <c r="J230" s="39"/>
    </row>
    <row r="231" ht="14.25" customHeight="1">
      <c r="J231" s="39"/>
    </row>
    <row r="232" ht="14.25" customHeight="1">
      <c r="J232" s="39"/>
    </row>
    <row r="233" ht="14.25" customHeight="1">
      <c r="J233" s="39"/>
    </row>
    <row r="234" ht="14.25" customHeight="1">
      <c r="J234" s="39"/>
    </row>
    <row r="235" ht="14.25" customHeight="1">
      <c r="J235" s="39"/>
    </row>
    <row r="236" ht="14.25" customHeight="1">
      <c r="J236" s="39"/>
    </row>
    <row r="237" ht="14.25" customHeight="1">
      <c r="J237" s="39"/>
    </row>
    <row r="238" ht="14.25" customHeight="1">
      <c r="J238" s="39"/>
    </row>
    <row r="239" ht="14.25" customHeight="1">
      <c r="J239" s="39"/>
    </row>
    <row r="240" ht="14.25" customHeight="1">
      <c r="J240" s="39"/>
    </row>
    <row r="241" ht="14.25" customHeight="1">
      <c r="J241" s="39"/>
    </row>
    <row r="242" ht="14.25" customHeight="1">
      <c r="J242" s="39"/>
    </row>
    <row r="243" ht="14.25" customHeight="1">
      <c r="J243" s="39"/>
    </row>
    <row r="244" ht="14.25" customHeight="1">
      <c r="J244" s="39"/>
    </row>
    <row r="245" ht="14.25" customHeight="1">
      <c r="J245" s="39"/>
    </row>
    <row r="246" ht="14.25" customHeight="1">
      <c r="J246" s="39"/>
    </row>
    <row r="247" ht="14.25" customHeight="1">
      <c r="J247" s="39"/>
    </row>
    <row r="248" ht="14.25" customHeight="1">
      <c r="J248" s="39"/>
    </row>
    <row r="249" ht="14.25" customHeight="1">
      <c r="J249" s="39"/>
    </row>
    <row r="250" ht="14.25" customHeight="1">
      <c r="J250" s="39"/>
    </row>
    <row r="251" ht="14.25" customHeight="1">
      <c r="J251" s="39"/>
    </row>
    <row r="252" ht="14.25" customHeight="1">
      <c r="J252" s="39"/>
    </row>
    <row r="253" ht="14.25" customHeight="1">
      <c r="J253" s="39"/>
    </row>
    <row r="254" ht="14.25" customHeight="1">
      <c r="J254" s="39"/>
    </row>
    <row r="255" ht="14.25" customHeight="1">
      <c r="J255" s="39"/>
    </row>
    <row r="256" ht="14.25" customHeight="1">
      <c r="J256" s="39"/>
    </row>
    <row r="257" ht="14.25" customHeight="1">
      <c r="J257" s="39"/>
    </row>
    <row r="258" ht="14.25" customHeight="1">
      <c r="J258" s="39"/>
    </row>
    <row r="259" ht="14.25" customHeight="1">
      <c r="J259" s="39"/>
    </row>
    <row r="260" ht="14.25" customHeight="1">
      <c r="J260" s="39"/>
    </row>
    <row r="261" ht="14.25" customHeight="1">
      <c r="J261" s="39"/>
    </row>
    <row r="262" ht="14.25" customHeight="1">
      <c r="J262" s="39"/>
    </row>
    <row r="263" ht="14.25" customHeight="1">
      <c r="J263" s="39"/>
    </row>
    <row r="264" ht="14.25" customHeight="1">
      <c r="J264" s="39"/>
    </row>
    <row r="265" ht="14.25" customHeight="1">
      <c r="J265" s="39"/>
    </row>
    <row r="266" ht="14.25" customHeight="1">
      <c r="J266" s="39"/>
    </row>
    <row r="267" ht="14.25" customHeight="1">
      <c r="J267" s="39"/>
    </row>
    <row r="268" ht="14.25" customHeight="1">
      <c r="J268" s="39"/>
    </row>
    <row r="269" ht="14.25" customHeight="1">
      <c r="J269" s="39"/>
    </row>
    <row r="270" ht="14.25" customHeight="1">
      <c r="J270" s="39"/>
    </row>
    <row r="271" ht="14.25" customHeight="1">
      <c r="J271" s="39"/>
    </row>
    <row r="272" ht="14.25" customHeight="1">
      <c r="J272" s="39"/>
    </row>
    <row r="273" ht="14.25" customHeight="1">
      <c r="J273" s="39"/>
    </row>
    <row r="274" ht="14.25" customHeight="1">
      <c r="J274" s="39"/>
    </row>
    <row r="275" ht="14.25" customHeight="1">
      <c r="J275" s="39"/>
    </row>
    <row r="276" ht="14.25" customHeight="1">
      <c r="J276" s="39"/>
    </row>
    <row r="277" ht="14.25" customHeight="1">
      <c r="J277" s="39"/>
    </row>
    <row r="278" ht="14.25" customHeight="1">
      <c r="J278" s="39"/>
    </row>
    <row r="279" ht="14.25" customHeight="1">
      <c r="J279" s="39"/>
    </row>
    <row r="280" ht="14.25" customHeight="1">
      <c r="J280" s="39"/>
    </row>
    <row r="281" ht="14.25" customHeight="1">
      <c r="J281" s="39"/>
    </row>
    <row r="282" ht="14.25" customHeight="1">
      <c r="J282" s="39"/>
    </row>
    <row r="283" ht="14.25" customHeight="1">
      <c r="J283" s="39"/>
    </row>
    <row r="284" ht="14.25" customHeight="1">
      <c r="J284" s="39"/>
    </row>
    <row r="285" ht="14.25" customHeight="1">
      <c r="J285" s="39"/>
    </row>
    <row r="286" ht="14.25" customHeight="1">
      <c r="J286" s="39"/>
    </row>
    <row r="287" ht="14.25" customHeight="1">
      <c r="J287" s="39"/>
    </row>
    <row r="288" ht="14.25" customHeight="1">
      <c r="J288" s="39"/>
    </row>
    <row r="289" ht="14.25" customHeight="1">
      <c r="J289" s="39"/>
    </row>
    <row r="290" ht="14.25" customHeight="1">
      <c r="J290" s="39"/>
    </row>
    <row r="291" ht="14.25" customHeight="1">
      <c r="J291" s="39"/>
    </row>
    <row r="292" ht="14.25" customHeight="1">
      <c r="J292" s="39"/>
    </row>
    <row r="293" ht="14.25" customHeight="1">
      <c r="J293" s="39"/>
    </row>
    <row r="294" ht="14.25" customHeight="1">
      <c r="J294" s="39"/>
    </row>
    <row r="295" ht="14.25" customHeight="1">
      <c r="J295" s="39"/>
    </row>
    <row r="296" ht="14.25" customHeight="1">
      <c r="J296" s="39"/>
    </row>
    <row r="297" ht="14.25" customHeight="1">
      <c r="J297" s="39"/>
    </row>
    <row r="298" ht="14.25" customHeight="1">
      <c r="J298" s="39"/>
    </row>
    <row r="299" ht="14.25" customHeight="1">
      <c r="J299" s="39"/>
    </row>
    <row r="300" ht="14.25" customHeight="1">
      <c r="J300" s="39"/>
    </row>
    <row r="301" ht="14.25" customHeight="1">
      <c r="J301" s="39"/>
    </row>
    <row r="302" ht="14.25" customHeight="1">
      <c r="J302" s="39"/>
    </row>
    <row r="303" ht="14.25" customHeight="1">
      <c r="J303" s="39"/>
    </row>
    <row r="304" ht="14.25" customHeight="1">
      <c r="J304" s="39"/>
    </row>
    <row r="305" ht="14.25" customHeight="1">
      <c r="J305" s="39"/>
    </row>
    <row r="306" ht="14.25" customHeight="1">
      <c r="J306" s="39"/>
    </row>
    <row r="307" ht="14.25" customHeight="1">
      <c r="J307" s="39"/>
    </row>
    <row r="308" ht="14.25" customHeight="1">
      <c r="J308" s="39"/>
    </row>
    <row r="309" ht="14.25" customHeight="1">
      <c r="J309" s="39"/>
    </row>
    <row r="310" ht="14.25" customHeight="1">
      <c r="J310" s="39"/>
    </row>
    <row r="311" ht="14.25" customHeight="1">
      <c r="J311" s="39"/>
    </row>
    <row r="312" ht="14.25" customHeight="1">
      <c r="J312" s="39"/>
    </row>
    <row r="313" ht="14.25" customHeight="1">
      <c r="J313" s="39"/>
    </row>
    <row r="314" ht="14.25" customHeight="1">
      <c r="J314" s="39"/>
    </row>
    <row r="315" ht="14.25" customHeight="1">
      <c r="J315" s="39"/>
    </row>
    <row r="316" ht="14.25" customHeight="1">
      <c r="J316" s="39"/>
    </row>
    <row r="317" ht="14.25" customHeight="1">
      <c r="J317" s="39"/>
    </row>
    <row r="318" ht="14.25" customHeight="1">
      <c r="J318" s="39"/>
    </row>
    <row r="319" ht="14.25" customHeight="1">
      <c r="J319" s="39"/>
    </row>
    <row r="320" ht="14.25" customHeight="1">
      <c r="J320" s="39"/>
    </row>
    <row r="321" ht="14.25" customHeight="1">
      <c r="J321" s="39"/>
    </row>
    <row r="322" ht="14.25" customHeight="1">
      <c r="J322" s="39"/>
    </row>
    <row r="323" ht="14.25" customHeight="1">
      <c r="J323" s="39"/>
    </row>
    <row r="324" ht="14.25" customHeight="1">
      <c r="J324" s="39"/>
    </row>
    <row r="325" ht="14.25" customHeight="1">
      <c r="J325" s="39"/>
    </row>
    <row r="326" ht="14.25" customHeight="1">
      <c r="J326" s="39"/>
    </row>
    <row r="327" ht="14.25" customHeight="1">
      <c r="J327" s="39"/>
    </row>
    <row r="328" ht="14.25" customHeight="1">
      <c r="J328" s="39"/>
    </row>
    <row r="329" ht="14.25" customHeight="1">
      <c r="J329" s="39"/>
    </row>
    <row r="330" ht="14.25" customHeight="1">
      <c r="J330" s="39"/>
    </row>
    <row r="331" ht="14.25" customHeight="1">
      <c r="J331" s="39"/>
    </row>
    <row r="332" ht="14.25" customHeight="1">
      <c r="J332" s="39"/>
    </row>
    <row r="333" ht="14.25" customHeight="1">
      <c r="J333" s="39"/>
    </row>
    <row r="334" ht="14.25" customHeight="1">
      <c r="J334" s="39"/>
    </row>
    <row r="335" ht="14.25" customHeight="1">
      <c r="J335" s="39"/>
    </row>
    <row r="336" ht="14.25" customHeight="1">
      <c r="J336" s="39"/>
    </row>
    <row r="337" ht="14.25" customHeight="1">
      <c r="J337" s="39"/>
    </row>
    <row r="338" ht="14.25" customHeight="1">
      <c r="J338" s="39"/>
    </row>
    <row r="339" ht="14.25" customHeight="1">
      <c r="J339" s="39"/>
    </row>
    <row r="340" ht="14.25" customHeight="1">
      <c r="J340" s="39"/>
    </row>
    <row r="341" ht="14.25" customHeight="1">
      <c r="J341" s="39"/>
    </row>
    <row r="342" ht="14.25" customHeight="1">
      <c r="J342" s="39"/>
    </row>
    <row r="343" ht="14.25" customHeight="1">
      <c r="J343" s="39"/>
    </row>
    <row r="344" ht="14.25" customHeight="1">
      <c r="J344" s="39"/>
    </row>
    <row r="345" ht="14.25" customHeight="1">
      <c r="J345" s="39"/>
    </row>
    <row r="346" ht="14.25" customHeight="1">
      <c r="J346" s="39"/>
    </row>
    <row r="347" ht="14.25" customHeight="1">
      <c r="J347" s="39"/>
    </row>
    <row r="348" ht="14.25" customHeight="1">
      <c r="J348" s="39"/>
    </row>
    <row r="349" ht="14.25" customHeight="1">
      <c r="J349" s="39"/>
    </row>
    <row r="350" ht="14.25" customHeight="1">
      <c r="J350" s="39"/>
    </row>
    <row r="351" ht="14.25" customHeight="1">
      <c r="J351" s="39"/>
    </row>
    <row r="352" ht="14.25" customHeight="1">
      <c r="J352" s="39"/>
    </row>
    <row r="353" ht="14.25" customHeight="1">
      <c r="J353" s="39"/>
    </row>
    <row r="354" ht="14.25" customHeight="1">
      <c r="J354" s="39"/>
    </row>
    <row r="355" ht="14.25" customHeight="1">
      <c r="J355" s="39"/>
    </row>
    <row r="356" ht="14.25" customHeight="1">
      <c r="J356" s="39"/>
    </row>
    <row r="357" ht="14.25" customHeight="1">
      <c r="J357" s="39"/>
    </row>
    <row r="358" ht="14.25" customHeight="1">
      <c r="J358" s="39"/>
    </row>
    <row r="359" ht="14.25" customHeight="1">
      <c r="J359" s="39"/>
    </row>
    <row r="360" ht="14.25" customHeight="1">
      <c r="J360" s="39"/>
    </row>
    <row r="361" ht="14.25" customHeight="1">
      <c r="J361" s="39"/>
    </row>
    <row r="362" ht="14.25" customHeight="1">
      <c r="J362" s="39"/>
    </row>
    <row r="363" ht="14.25" customHeight="1">
      <c r="J363" s="39"/>
    </row>
    <row r="364" ht="14.25" customHeight="1">
      <c r="J364" s="39"/>
    </row>
    <row r="365" ht="14.25" customHeight="1">
      <c r="J365" s="39"/>
    </row>
    <row r="366" ht="14.25" customHeight="1">
      <c r="J366" s="39"/>
    </row>
    <row r="367" ht="14.25" customHeight="1">
      <c r="J367" s="39"/>
    </row>
    <row r="368" ht="14.25" customHeight="1">
      <c r="J368" s="39"/>
    </row>
    <row r="369" ht="14.25" customHeight="1">
      <c r="J369" s="39"/>
    </row>
    <row r="370" ht="14.25" customHeight="1">
      <c r="J370" s="39"/>
    </row>
    <row r="371" ht="14.25" customHeight="1">
      <c r="J371" s="39"/>
    </row>
    <row r="372" ht="14.25" customHeight="1">
      <c r="J372" s="39"/>
    </row>
    <row r="373" ht="14.25" customHeight="1">
      <c r="J373" s="39"/>
    </row>
    <row r="374" ht="14.25" customHeight="1">
      <c r="J374" s="39"/>
    </row>
    <row r="375" ht="14.25" customHeight="1">
      <c r="J375" s="39"/>
    </row>
    <row r="376" ht="14.25" customHeight="1">
      <c r="J376" s="39"/>
    </row>
    <row r="377" ht="14.25" customHeight="1">
      <c r="J377" s="39"/>
    </row>
    <row r="378" ht="14.25" customHeight="1">
      <c r="J378" s="39"/>
    </row>
    <row r="379" ht="14.25" customHeight="1">
      <c r="J379" s="39"/>
    </row>
    <row r="380" ht="14.25" customHeight="1">
      <c r="J380" s="39"/>
    </row>
    <row r="381" ht="14.25" customHeight="1">
      <c r="J381" s="39"/>
    </row>
    <row r="382" ht="14.25" customHeight="1">
      <c r="J382" s="39"/>
    </row>
    <row r="383" ht="14.25" customHeight="1">
      <c r="J383" s="39"/>
    </row>
    <row r="384" ht="14.25" customHeight="1">
      <c r="J384" s="39"/>
    </row>
    <row r="385" ht="14.25" customHeight="1">
      <c r="J385" s="39"/>
    </row>
    <row r="386" ht="14.25" customHeight="1">
      <c r="J386" s="39"/>
    </row>
    <row r="387" ht="14.25" customHeight="1">
      <c r="J387" s="39"/>
    </row>
    <row r="388" ht="14.25" customHeight="1">
      <c r="J388" s="39"/>
    </row>
    <row r="389" ht="14.25" customHeight="1">
      <c r="J389" s="39"/>
    </row>
    <row r="390" ht="14.25" customHeight="1">
      <c r="J390" s="39"/>
    </row>
    <row r="391" ht="14.25" customHeight="1">
      <c r="J391" s="39"/>
    </row>
    <row r="392" ht="14.25" customHeight="1">
      <c r="J392" s="39"/>
    </row>
    <row r="393" ht="14.25" customHeight="1">
      <c r="J393" s="39"/>
    </row>
    <row r="394" ht="14.25" customHeight="1">
      <c r="J394" s="39"/>
    </row>
    <row r="395" ht="14.25" customHeight="1">
      <c r="J395" s="39"/>
    </row>
    <row r="396" ht="14.25" customHeight="1">
      <c r="J396" s="39"/>
    </row>
    <row r="397" ht="14.25" customHeight="1">
      <c r="J397" s="39"/>
    </row>
    <row r="398" ht="14.25" customHeight="1">
      <c r="J398" s="39"/>
    </row>
    <row r="399" ht="14.25" customHeight="1">
      <c r="J399" s="39"/>
    </row>
    <row r="400" ht="14.25" customHeight="1">
      <c r="J400" s="39"/>
    </row>
    <row r="401" ht="14.25" customHeight="1">
      <c r="J401" s="39"/>
    </row>
    <row r="402" ht="14.25" customHeight="1">
      <c r="J402" s="39"/>
    </row>
    <row r="403" ht="14.25" customHeight="1">
      <c r="J403" s="39"/>
    </row>
    <row r="404" ht="14.25" customHeight="1">
      <c r="J404" s="39"/>
    </row>
    <row r="405" ht="14.25" customHeight="1">
      <c r="J405" s="39"/>
    </row>
    <row r="406" ht="14.25" customHeight="1">
      <c r="J406" s="39"/>
    </row>
    <row r="407" ht="14.25" customHeight="1">
      <c r="J407" s="39"/>
    </row>
    <row r="408" ht="14.25" customHeight="1">
      <c r="J408" s="39"/>
    </row>
    <row r="409" ht="14.25" customHeight="1">
      <c r="J409" s="39"/>
    </row>
    <row r="410" ht="14.25" customHeight="1">
      <c r="J410" s="39"/>
    </row>
    <row r="411" ht="14.25" customHeight="1">
      <c r="J411" s="39"/>
    </row>
    <row r="412" ht="14.25" customHeight="1">
      <c r="J412" s="39"/>
    </row>
    <row r="413" ht="14.25" customHeight="1">
      <c r="J413" s="39"/>
    </row>
    <row r="414" ht="14.25" customHeight="1">
      <c r="J414" s="39"/>
    </row>
    <row r="415" ht="14.25" customHeight="1">
      <c r="J415" s="39"/>
    </row>
    <row r="416" ht="14.25" customHeight="1">
      <c r="J416" s="39"/>
    </row>
    <row r="417" ht="14.25" customHeight="1">
      <c r="J417" s="39"/>
    </row>
    <row r="418" ht="14.25" customHeight="1">
      <c r="J418" s="39"/>
    </row>
    <row r="419" ht="14.25" customHeight="1">
      <c r="J419" s="39"/>
    </row>
    <row r="420" ht="14.25" customHeight="1">
      <c r="J420" s="39"/>
    </row>
    <row r="421" ht="14.25" customHeight="1">
      <c r="J421" s="39"/>
    </row>
    <row r="422" ht="14.25" customHeight="1">
      <c r="J422" s="39"/>
    </row>
    <row r="423" ht="14.25" customHeight="1">
      <c r="J423" s="39"/>
    </row>
    <row r="424" ht="14.25" customHeight="1">
      <c r="J424" s="39"/>
    </row>
    <row r="425" ht="14.25" customHeight="1">
      <c r="J425" s="39"/>
    </row>
    <row r="426" ht="14.25" customHeight="1">
      <c r="J426" s="39"/>
    </row>
    <row r="427" ht="14.25" customHeight="1">
      <c r="J427" s="39"/>
    </row>
    <row r="428" ht="14.25" customHeight="1">
      <c r="J428" s="39"/>
    </row>
    <row r="429" ht="14.25" customHeight="1">
      <c r="J429" s="39"/>
    </row>
    <row r="430" ht="14.25" customHeight="1">
      <c r="J430" s="39"/>
    </row>
    <row r="431" ht="14.25" customHeight="1">
      <c r="J431" s="39"/>
    </row>
    <row r="432" ht="14.25" customHeight="1">
      <c r="J432" s="39"/>
    </row>
    <row r="433" ht="14.25" customHeight="1">
      <c r="J433" s="39"/>
    </row>
    <row r="434" ht="14.25" customHeight="1">
      <c r="J434" s="39"/>
    </row>
    <row r="435" ht="14.25" customHeight="1">
      <c r="J435" s="39"/>
    </row>
    <row r="436" ht="14.25" customHeight="1">
      <c r="J436" s="39"/>
    </row>
    <row r="437" ht="14.25" customHeight="1">
      <c r="J437" s="39"/>
    </row>
    <row r="438" ht="14.25" customHeight="1">
      <c r="J438" s="39"/>
    </row>
    <row r="439" ht="14.25" customHeight="1">
      <c r="J439" s="39"/>
    </row>
    <row r="440" ht="14.25" customHeight="1">
      <c r="J440" s="39"/>
    </row>
    <row r="441" ht="14.25" customHeight="1">
      <c r="J441" s="39"/>
    </row>
    <row r="442" ht="14.25" customHeight="1">
      <c r="J442" s="39"/>
    </row>
    <row r="443" ht="14.25" customHeight="1">
      <c r="J443" s="39"/>
    </row>
    <row r="444" ht="14.25" customHeight="1">
      <c r="J444" s="39"/>
    </row>
    <row r="445" ht="14.25" customHeight="1">
      <c r="J445" s="39"/>
    </row>
    <row r="446" ht="14.25" customHeight="1">
      <c r="J446" s="39"/>
    </row>
    <row r="447" ht="14.25" customHeight="1">
      <c r="J447" s="39"/>
    </row>
    <row r="448" ht="14.25" customHeight="1">
      <c r="J448" s="39"/>
    </row>
    <row r="449" ht="14.25" customHeight="1">
      <c r="J449" s="39"/>
    </row>
    <row r="450" ht="14.25" customHeight="1">
      <c r="J450" s="39"/>
    </row>
    <row r="451" ht="14.25" customHeight="1">
      <c r="J451" s="39"/>
    </row>
    <row r="452" ht="14.25" customHeight="1">
      <c r="J452" s="39"/>
    </row>
    <row r="453" ht="14.25" customHeight="1">
      <c r="J453" s="39"/>
    </row>
    <row r="454" ht="14.25" customHeight="1">
      <c r="J454" s="39"/>
    </row>
    <row r="455" ht="14.25" customHeight="1">
      <c r="J455" s="39"/>
    </row>
    <row r="456" ht="14.25" customHeight="1">
      <c r="J456" s="39"/>
    </row>
    <row r="457" ht="14.25" customHeight="1">
      <c r="J457" s="39"/>
    </row>
    <row r="458" ht="14.25" customHeight="1">
      <c r="J458" s="39"/>
    </row>
    <row r="459" ht="14.25" customHeight="1">
      <c r="J459" s="39"/>
    </row>
    <row r="460" ht="14.25" customHeight="1">
      <c r="J460" s="39"/>
    </row>
    <row r="461" ht="14.25" customHeight="1">
      <c r="J461" s="39"/>
    </row>
    <row r="462" ht="14.25" customHeight="1">
      <c r="J462" s="39"/>
    </row>
    <row r="463" ht="14.25" customHeight="1">
      <c r="J463" s="39"/>
    </row>
    <row r="464" ht="14.25" customHeight="1">
      <c r="J464" s="39"/>
    </row>
    <row r="465" ht="14.25" customHeight="1">
      <c r="J465" s="39"/>
    </row>
    <row r="466" ht="14.25" customHeight="1">
      <c r="J466" s="39"/>
    </row>
    <row r="467" ht="14.25" customHeight="1">
      <c r="J467" s="39"/>
    </row>
    <row r="468" ht="14.25" customHeight="1">
      <c r="J468" s="39"/>
    </row>
    <row r="469" ht="14.25" customHeight="1">
      <c r="J469" s="39"/>
    </row>
    <row r="470" ht="14.25" customHeight="1">
      <c r="J470" s="39"/>
    </row>
    <row r="471" ht="14.25" customHeight="1">
      <c r="J471" s="39"/>
    </row>
    <row r="472" ht="14.25" customHeight="1">
      <c r="J472" s="39"/>
    </row>
    <row r="473" ht="14.25" customHeight="1">
      <c r="J473" s="39"/>
    </row>
    <row r="474" ht="14.25" customHeight="1">
      <c r="J474" s="39"/>
    </row>
    <row r="475" ht="14.25" customHeight="1">
      <c r="J475" s="39"/>
    </row>
    <row r="476" ht="14.25" customHeight="1">
      <c r="J476" s="39"/>
    </row>
    <row r="477" ht="14.25" customHeight="1">
      <c r="J477" s="39"/>
    </row>
    <row r="478" ht="14.25" customHeight="1">
      <c r="J478" s="39"/>
    </row>
    <row r="479" ht="14.25" customHeight="1">
      <c r="J479" s="39"/>
    </row>
    <row r="480" ht="14.25" customHeight="1">
      <c r="J480" s="39"/>
    </row>
    <row r="481" ht="14.25" customHeight="1">
      <c r="J481" s="39"/>
    </row>
    <row r="482" ht="14.25" customHeight="1">
      <c r="J482" s="39"/>
    </row>
    <row r="483" ht="14.25" customHeight="1">
      <c r="J483" s="39"/>
    </row>
    <row r="484" ht="14.25" customHeight="1">
      <c r="J484" s="39"/>
    </row>
    <row r="485" ht="14.25" customHeight="1">
      <c r="J485" s="39"/>
    </row>
    <row r="486" ht="14.25" customHeight="1">
      <c r="J486" s="39"/>
    </row>
    <row r="487" ht="14.25" customHeight="1">
      <c r="J487" s="39"/>
    </row>
    <row r="488" ht="14.25" customHeight="1">
      <c r="J488" s="39"/>
    </row>
    <row r="489" ht="14.25" customHeight="1">
      <c r="J489" s="39"/>
    </row>
    <row r="490" ht="14.25" customHeight="1">
      <c r="J490" s="39"/>
    </row>
    <row r="491" ht="14.25" customHeight="1">
      <c r="J491" s="39"/>
    </row>
    <row r="492" ht="14.25" customHeight="1">
      <c r="J492" s="39"/>
    </row>
    <row r="493" ht="14.25" customHeight="1">
      <c r="J493" s="39"/>
    </row>
    <row r="494" ht="14.25" customHeight="1">
      <c r="J494" s="39"/>
    </row>
    <row r="495" ht="14.25" customHeight="1">
      <c r="J495" s="39"/>
    </row>
    <row r="496" ht="14.25" customHeight="1">
      <c r="J496" s="39"/>
    </row>
    <row r="497" ht="14.25" customHeight="1">
      <c r="J497" s="39"/>
    </row>
    <row r="498" ht="14.25" customHeight="1">
      <c r="J498" s="39"/>
    </row>
    <row r="499" ht="14.25" customHeight="1">
      <c r="J499" s="39"/>
    </row>
    <row r="500" ht="14.25" customHeight="1">
      <c r="J500" s="39"/>
    </row>
    <row r="501" ht="14.25" customHeight="1">
      <c r="J501" s="39"/>
    </row>
    <row r="502" ht="14.25" customHeight="1">
      <c r="J502" s="39"/>
    </row>
    <row r="503" ht="14.25" customHeight="1">
      <c r="J503" s="39"/>
    </row>
    <row r="504" ht="14.25" customHeight="1">
      <c r="J504" s="39"/>
    </row>
    <row r="505" ht="14.25" customHeight="1">
      <c r="J505" s="39"/>
    </row>
    <row r="506" ht="14.25" customHeight="1">
      <c r="J506" s="39"/>
    </row>
    <row r="507" ht="14.25" customHeight="1">
      <c r="J507" s="39"/>
    </row>
    <row r="508" ht="14.25" customHeight="1">
      <c r="J508" s="39"/>
    </row>
    <row r="509" ht="14.25" customHeight="1">
      <c r="J509" s="39"/>
    </row>
    <row r="510" ht="14.25" customHeight="1">
      <c r="J510" s="39"/>
    </row>
    <row r="511" ht="14.25" customHeight="1">
      <c r="J511" s="39"/>
    </row>
    <row r="512" ht="14.25" customHeight="1">
      <c r="J512" s="39"/>
    </row>
    <row r="513" ht="14.25" customHeight="1">
      <c r="J513" s="39"/>
    </row>
    <row r="514" ht="14.25" customHeight="1">
      <c r="J514" s="39"/>
    </row>
    <row r="515" ht="14.25" customHeight="1">
      <c r="J515" s="39"/>
    </row>
    <row r="516" ht="14.25" customHeight="1">
      <c r="J516" s="39"/>
    </row>
    <row r="517" ht="14.25" customHeight="1">
      <c r="J517" s="39"/>
    </row>
    <row r="518" ht="14.25" customHeight="1">
      <c r="J518" s="39"/>
    </row>
    <row r="519" ht="14.25" customHeight="1">
      <c r="J519" s="39"/>
    </row>
    <row r="520" ht="14.25" customHeight="1">
      <c r="J520" s="39"/>
    </row>
    <row r="521" ht="14.25" customHeight="1">
      <c r="J521" s="39"/>
    </row>
    <row r="522" ht="14.25" customHeight="1">
      <c r="J522" s="39"/>
    </row>
    <row r="523" ht="14.25" customHeight="1">
      <c r="J523" s="39"/>
    </row>
    <row r="524" ht="14.25" customHeight="1">
      <c r="J524" s="39"/>
    </row>
    <row r="525" ht="14.25" customHeight="1">
      <c r="J525" s="39"/>
    </row>
    <row r="526" ht="14.25" customHeight="1">
      <c r="J526" s="39"/>
    </row>
    <row r="527" ht="14.25" customHeight="1">
      <c r="J527" s="39"/>
    </row>
    <row r="528" ht="14.25" customHeight="1">
      <c r="J528" s="39"/>
    </row>
    <row r="529" ht="14.25" customHeight="1">
      <c r="J529" s="39"/>
    </row>
    <row r="530" ht="14.25" customHeight="1">
      <c r="J530" s="39"/>
    </row>
    <row r="531" ht="14.25" customHeight="1">
      <c r="J531" s="39"/>
    </row>
    <row r="532" ht="14.25" customHeight="1">
      <c r="J532" s="39"/>
    </row>
    <row r="533" ht="14.25" customHeight="1">
      <c r="J533" s="39"/>
    </row>
    <row r="534" ht="14.25" customHeight="1">
      <c r="J534" s="39"/>
    </row>
    <row r="535" ht="14.25" customHeight="1">
      <c r="J535" s="39"/>
    </row>
    <row r="536" ht="14.25" customHeight="1">
      <c r="J536" s="39"/>
    </row>
    <row r="537" ht="14.25" customHeight="1">
      <c r="J537" s="39"/>
    </row>
    <row r="538" ht="14.25" customHeight="1">
      <c r="J538" s="39"/>
    </row>
    <row r="539" ht="14.25" customHeight="1">
      <c r="J539" s="39"/>
    </row>
    <row r="540" ht="14.25" customHeight="1">
      <c r="J540" s="39"/>
    </row>
    <row r="541" ht="14.25" customHeight="1">
      <c r="J541" s="39"/>
    </row>
    <row r="542" ht="14.25" customHeight="1">
      <c r="J542" s="39"/>
    </row>
    <row r="543" ht="14.25" customHeight="1">
      <c r="J543" s="39"/>
    </row>
    <row r="544" ht="14.25" customHeight="1">
      <c r="J544" s="39"/>
    </row>
    <row r="545" ht="14.25" customHeight="1">
      <c r="J545" s="39"/>
    </row>
    <row r="546" ht="14.25" customHeight="1">
      <c r="J546" s="39"/>
    </row>
    <row r="547" ht="14.25" customHeight="1">
      <c r="J547" s="39"/>
    </row>
    <row r="548" ht="14.25" customHeight="1">
      <c r="J548" s="39"/>
    </row>
    <row r="549" ht="14.25" customHeight="1">
      <c r="J549" s="39"/>
    </row>
    <row r="550" ht="14.25" customHeight="1">
      <c r="J550" s="39"/>
    </row>
    <row r="551" ht="14.25" customHeight="1">
      <c r="J551" s="39"/>
    </row>
    <row r="552" ht="14.25" customHeight="1">
      <c r="J552" s="39"/>
    </row>
    <row r="553" ht="14.25" customHeight="1">
      <c r="J553" s="39"/>
    </row>
    <row r="554" ht="14.25" customHeight="1">
      <c r="J554" s="39"/>
    </row>
    <row r="555" ht="14.25" customHeight="1">
      <c r="J555" s="39"/>
    </row>
    <row r="556" ht="14.25" customHeight="1">
      <c r="J556" s="39"/>
    </row>
    <row r="557" ht="14.25" customHeight="1">
      <c r="J557" s="39"/>
    </row>
    <row r="558" ht="14.25" customHeight="1">
      <c r="J558" s="39"/>
    </row>
    <row r="559" ht="14.25" customHeight="1">
      <c r="J559" s="39"/>
    </row>
    <row r="560" ht="14.25" customHeight="1">
      <c r="J560" s="39"/>
    </row>
    <row r="561" ht="14.25" customHeight="1">
      <c r="J561" s="39"/>
    </row>
    <row r="562" ht="14.25" customHeight="1">
      <c r="J562" s="39"/>
    </row>
    <row r="563" ht="14.25" customHeight="1">
      <c r="J563" s="39"/>
    </row>
    <row r="564" ht="14.25" customHeight="1">
      <c r="J564" s="39"/>
    </row>
    <row r="565" ht="14.25" customHeight="1">
      <c r="J565" s="39"/>
    </row>
    <row r="566" ht="14.25" customHeight="1">
      <c r="J566" s="39"/>
    </row>
    <row r="567" ht="14.25" customHeight="1">
      <c r="J567" s="39"/>
    </row>
    <row r="568" ht="14.25" customHeight="1">
      <c r="J568" s="39"/>
    </row>
    <row r="569" ht="14.25" customHeight="1">
      <c r="J569" s="39"/>
    </row>
    <row r="570" ht="14.25" customHeight="1">
      <c r="J570" s="39"/>
    </row>
    <row r="571" ht="14.25" customHeight="1">
      <c r="J571" s="39"/>
    </row>
    <row r="572" ht="14.25" customHeight="1">
      <c r="J572" s="39"/>
    </row>
    <row r="573" ht="14.25" customHeight="1">
      <c r="J573" s="39"/>
    </row>
    <row r="574" ht="14.25" customHeight="1">
      <c r="J574" s="39"/>
    </row>
    <row r="575" ht="14.25" customHeight="1">
      <c r="J575" s="39"/>
    </row>
    <row r="576" ht="14.25" customHeight="1">
      <c r="J576" s="39"/>
    </row>
    <row r="577" ht="14.25" customHeight="1">
      <c r="J577" s="39"/>
    </row>
    <row r="578" ht="14.25" customHeight="1">
      <c r="J578" s="39"/>
    </row>
    <row r="579" ht="14.25" customHeight="1">
      <c r="J579" s="39"/>
    </row>
    <row r="580" ht="14.25" customHeight="1">
      <c r="J580" s="39"/>
    </row>
    <row r="581" ht="14.25" customHeight="1">
      <c r="J581" s="39"/>
    </row>
    <row r="582" ht="14.25" customHeight="1">
      <c r="J582" s="39"/>
    </row>
    <row r="583" ht="14.25" customHeight="1">
      <c r="J583" s="39"/>
    </row>
    <row r="584" ht="14.25" customHeight="1">
      <c r="J584" s="39"/>
    </row>
    <row r="585" ht="14.25" customHeight="1">
      <c r="J585" s="39"/>
    </row>
    <row r="586" ht="14.25" customHeight="1">
      <c r="J586" s="39"/>
    </row>
    <row r="587" ht="14.25" customHeight="1">
      <c r="J587" s="39"/>
    </row>
    <row r="588" ht="14.25" customHeight="1">
      <c r="J588" s="39"/>
    </row>
    <row r="589" ht="14.25" customHeight="1">
      <c r="J589" s="39"/>
    </row>
    <row r="590" ht="14.25" customHeight="1">
      <c r="J590" s="39"/>
    </row>
    <row r="591" ht="14.25" customHeight="1">
      <c r="J591" s="39"/>
    </row>
    <row r="592" ht="14.25" customHeight="1">
      <c r="J592" s="39"/>
    </row>
    <row r="593" ht="14.25" customHeight="1">
      <c r="J593" s="39"/>
    </row>
    <row r="594" ht="14.25" customHeight="1">
      <c r="J594" s="39"/>
    </row>
    <row r="595" ht="14.25" customHeight="1">
      <c r="J595" s="39"/>
    </row>
    <row r="596" ht="14.25" customHeight="1">
      <c r="J596" s="39"/>
    </row>
    <row r="597" ht="14.25" customHeight="1">
      <c r="J597" s="39"/>
    </row>
    <row r="598" ht="14.25" customHeight="1">
      <c r="J598" s="39"/>
    </row>
    <row r="599" ht="14.25" customHeight="1">
      <c r="J599" s="39"/>
    </row>
    <row r="600" ht="14.25" customHeight="1">
      <c r="J600" s="39"/>
    </row>
    <row r="601" ht="14.25" customHeight="1">
      <c r="J601" s="39"/>
    </row>
    <row r="602" ht="14.25" customHeight="1">
      <c r="J602" s="39"/>
    </row>
    <row r="603" ht="14.25" customHeight="1">
      <c r="J603" s="39"/>
    </row>
    <row r="604" ht="14.25" customHeight="1">
      <c r="J604" s="39"/>
    </row>
    <row r="605" ht="14.25" customHeight="1">
      <c r="J605" s="39"/>
    </row>
    <row r="606" ht="14.25" customHeight="1">
      <c r="J606" s="39"/>
    </row>
    <row r="607" ht="14.25" customHeight="1">
      <c r="J607" s="39"/>
    </row>
    <row r="608" ht="14.25" customHeight="1">
      <c r="J608" s="39"/>
    </row>
    <row r="609" ht="14.25" customHeight="1">
      <c r="J609" s="39"/>
    </row>
    <row r="610" ht="14.25" customHeight="1">
      <c r="J610" s="39"/>
    </row>
    <row r="611" ht="14.25" customHeight="1">
      <c r="J611" s="39"/>
    </row>
    <row r="612" ht="14.25" customHeight="1">
      <c r="J612" s="39"/>
    </row>
    <row r="613" ht="14.25" customHeight="1">
      <c r="J613" s="39"/>
    </row>
    <row r="614" ht="14.25" customHeight="1">
      <c r="J614" s="39"/>
    </row>
    <row r="615" ht="14.25" customHeight="1">
      <c r="J615" s="39"/>
    </row>
    <row r="616" ht="14.25" customHeight="1">
      <c r="J616" s="39"/>
    </row>
    <row r="617" ht="14.25" customHeight="1">
      <c r="J617" s="39"/>
    </row>
    <row r="618" ht="14.25" customHeight="1">
      <c r="J618" s="39"/>
    </row>
    <row r="619" ht="14.25" customHeight="1">
      <c r="J619" s="39"/>
    </row>
    <row r="620" ht="14.25" customHeight="1">
      <c r="J620" s="39"/>
    </row>
    <row r="621" ht="14.25" customHeight="1">
      <c r="J621" s="39"/>
    </row>
    <row r="622" ht="14.25" customHeight="1">
      <c r="J622" s="39"/>
    </row>
    <row r="623" ht="14.25" customHeight="1">
      <c r="J623" s="39"/>
    </row>
    <row r="624" ht="14.25" customHeight="1">
      <c r="J624" s="39"/>
    </row>
    <row r="625" ht="14.25" customHeight="1">
      <c r="J625" s="39"/>
    </row>
    <row r="626" ht="14.25" customHeight="1">
      <c r="J626" s="39"/>
    </row>
    <row r="627" ht="14.25" customHeight="1">
      <c r="J627" s="39"/>
    </row>
    <row r="628" ht="14.25" customHeight="1">
      <c r="J628" s="39"/>
    </row>
    <row r="629" ht="14.25" customHeight="1">
      <c r="J629" s="39"/>
    </row>
    <row r="630" ht="14.25" customHeight="1">
      <c r="J630" s="39"/>
    </row>
    <row r="631" ht="14.25" customHeight="1">
      <c r="J631" s="39"/>
    </row>
    <row r="632" ht="14.25" customHeight="1">
      <c r="J632" s="39"/>
    </row>
    <row r="633" ht="14.25" customHeight="1">
      <c r="J633" s="39"/>
    </row>
    <row r="634" ht="14.25" customHeight="1">
      <c r="J634" s="39"/>
    </row>
    <row r="635" ht="14.25" customHeight="1">
      <c r="J635" s="39"/>
    </row>
    <row r="636" ht="14.25" customHeight="1">
      <c r="J636" s="39"/>
    </row>
    <row r="637" ht="14.25" customHeight="1">
      <c r="J637" s="39"/>
    </row>
    <row r="638" ht="14.25" customHeight="1">
      <c r="J638" s="39"/>
    </row>
    <row r="639" ht="14.25" customHeight="1">
      <c r="J639" s="39"/>
    </row>
    <row r="640" ht="14.25" customHeight="1">
      <c r="J640" s="39"/>
    </row>
    <row r="641" ht="14.25" customHeight="1">
      <c r="J641" s="39"/>
    </row>
    <row r="642" ht="14.25" customHeight="1">
      <c r="J642" s="39"/>
    </row>
    <row r="643" ht="14.25" customHeight="1">
      <c r="J643" s="39"/>
    </row>
    <row r="644" ht="14.25" customHeight="1">
      <c r="J644" s="39"/>
    </row>
    <row r="645" ht="14.25" customHeight="1">
      <c r="J645" s="39"/>
    </row>
    <row r="646" ht="14.25" customHeight="1">
      <c r="J646" s="39"/>
    </row>
    <row r="647" ht="14.25" customHeight="1">
      <c r="J647" s="39"/>
    </row>
    <row r="648" ht="14.25" customHeight="1">
      <c r="J648" s="39"/>
    </row>
    <row r="649" ht="14.25" customHeight="1">
      <c r="J649" s="39"/>
    </row>
    <row r="650" ht="14.25" customHeight="1">
      <c r="J650" s="39"/>
    </row>
    <row r="651" ht="14.25" customHeight="1">
      <c r="J651" s="39"/>
    </row>
    <row r="652" ht="14.25" customHeight="1">
      <c r="J652" s="39"/>
    </row>
    <row r="653" ht="14.25" customHeight="1">
      <c r="J653" s="39"/>
    </row>
    <row r="654" ht="14.25" customHeight="1">
      <c r="J654" s="39"/>
    </row>
    <row r="655" ht="14.25" customHeight="1">
      <c r="J655" s="39"/>
    </row>
    <row r="656" ht="14.25" customHeight="1">
      <c r="J656" s="39"/>
    </row>
    <row r="657" ht="14.25" customHeight="1">
      <c r="J657" s="39"/>
    </row>
    <row r="658" ht="14.25" customHeight="1">
      <c r="J658" s="39"/>
    </row>
    <row r="659" ht="14.25" customHeight="1">
      <c r="J659" s="39"/>
    </row>
    <row r="660" ht="14.25" customHeight="1">
      <c r="J660" s="39"/>
    </row>
    <row r="661" ht="14.25" customHeight="1">
      <c r="J661" s="39"/>
    </row>
    <row r="662" ht="14.25" customHeight="1">
      <c r="J662" s="39"/>
    </row>
    <row r="663" ht="14.25" customHeight="1">
      <c r="J663" s="39"/>
    </row>
    <row r="664" ht="14.25" customHeight="1">
      <c r="J664" s="39"/>
    </row>
    <row r="665" ht="14.25" customHeight="1">
      <c r="J665" s="39"/>
    </row>
    <row r="666" ht="14.25" customHeight="1">
      <c r="J666" s="39"/>
    </row>
    <row r="667" ht="14.25" customHeight="1">
      <c r="J667" s="39"/>
    </row>
    <row r="668" ht="14.25" customHeight="1">
      <c r="J668" s="39"/>
    </row>
    <row r="669" ht="14.25" customHeight="1">
      <c r="J669" s="39"/>
    </row>
    <row r="670" ht="14.25" customHeight="1">
      <c r="J670" s="39"/>
    </row>
    <row r="671" ht="14.25" customHeight="1">
      <c r="J671" s="39"/>
    </row>
    <row r="672" ht="14.25" customHeight="1">
      <c r="J672" s="39"/>
    </row>
    <row r="673" ht="14.25" customHeight="1">
      <c r="J673" s="39"/>
    </row>
    <row r="674" ht="14.25" customHeight="1">
      <c r="J674" s="39"/>
    </row>
    <row r="675" ht="14.25" customHeight="1">
      <c r="J675" s="39"/>
    </row>
    <row r="676" ht="14.25" customHeight="1">
      <c r="J676" s="39"/>
    </row>
    <row r="677" ht="14.25" customHeight="1">
      <c r="J677" s="39"/>
    </row>
    <row r="678" ht="14.25" customHeight="1">
      <c r="J678" s="39"/>
    </row>
    <row r="679" ht="14.25" customHeight="1">
      <c r="J679" s="39"/>
    </row>
    <row r="680" ht="14.25" customHeight="1">
      <c r="J680" s="39"/>
    </row>
    <row r="681" ht="14.25" customHeight="1">
      <c r="J681" s="39"/>
    </row>
    <row r="682" ht="14.25" customHeight="1">
      <c r="J682" s="39"/>
    </row>
    <row r="683" ht="14.25" customHeight="1">
      <c r="J683" s="39"/>
    </row>
    <row r="684" ht="14.25" customHeight="1">
      <c r="J684" s="39"/>
    </row>
    <row r="685" ht="14.25" customHeight="1">
      <c r="J685" s="39"/>
    </row>
    <row r="686" ht="14.25" customHeight="1">
      <c r="J686" s="39"/>
    </row>
    <row r="687" ht="14.25" customHeight="1">
      <c r="J687" s="39"/>
    </row>
    <row r="688" ht="14.25" customHeight="1">
      <c r="J688" s="39"/>
    </row>
    <row r="689" ht="14.25" customHeight="1">
      <c r="J689" s="39"/>
    </row>
    <row r="690" ht="14.25" customHeight="1">
      <c r="J690" s="39"/>
    </row>
    <row r="691" ht="14.25" customHeight="1">
      <c r="J691" s="39"/>
    </row>
    <row r="692" ht="14.25" customHeight="1">
      <c r="J692" s="39"/>
    </row>
    <row r="693" ht="14.25" customHeight="1">
      <c r="J693" s="39"/>
    </row>
    <row r="694" ht="14.25" customHeight="1">
      <c r="J694" s="39"/>
    </row>
    <row r="695" ht="14.25" customHeight="1">
      <c r="J695" s="39"/>
    </row>
    <row r="696" ht="14.25" customHeight="1">
      <c r="J696" s="39"/>
    </row>
    <row r="697" ht="14.25" customHeight="1">
      <c r="J697" s="39"/>
    </row>
    <row r="698" ht="14.25" customHeight="1">
      <c r="J698" s="39"/>
    </row>
    <row r="699" ht="14.25" customHeight="1">
      <c r="J699" s="39"/>
    </row>
    <row r="700" ht="14.25" customHeight="1">
      <c r="J700" s="39"/>
    </row>
    <row r="701" ht="14.25" customHeight="1">
      <c r="J701" s="39"/>
    </row>
    <row r="702" ht="14.25" customHeight="1">
      <c r="J702" s="39"/>
    </row>
    <row r="703" ht="14.25" customHeight="1">
      <c r="J703" s="39"/>
    </row>
    <row r="704" ht="14.25" customHeight="1">
      <c r="J704" s="39"/>
    </row>
    <row r="705" ht="14.25" customHeight="1">
      <c r="J705" s="39"/>
    </row>
    <row r="706" ht="14.25" customHeight="1">
      <c r="J706" s="39"/>
    </row>
    <row r="707" ht="14.25" customHeight="1">
      <c r="J707" s="39"/>
    </row>
    <row r="708" ht="14.25" customHeight="1">
      <c r="J708" s="39"/>
    </row>
    <row r="709" ht="14.25" customHeight="1">
      <c r="J709" s="39"/>
    </row>
    <row r="710" ht="14.25" customHeight="1">
      <c r="J710" s="39"/>
    </row>
    <row r="711" ht="14.25" customHeight="1">
      <c r="J711" s="39"/>
    </row>
    <row r="712" ht="14.25" customHeight="1">
      <c r="J712" s="39"/>
    </row>
    <row r="713" ht="14.25" customHeight="1">
      <c r="J713" s="39"/>
    </row>
    <row r="714" ht="14.25" customHeight="1">
      <c r="J714" s="39"/>
    </row>
    <row r="715" ht="14.25" customHeight="1">
      <c r="J715" s="39"/>
    </row>
    <row r="716" ht="14.25" customHeight="1">
      <c r="J716" s="39"/>
    </row>
    <row r="717" ht="14.25" customHeight="1">
      <c r="J717" s="39"/>
    </row>
    <row r="718" ht="14.25" customHeight="1">
      <c r="J718" s="39"/>
    </row>
    <row r="719" ht="14.25" customHeight="1">
      <c r="J719" s="39"/>
    </row>
    <row r="720" ht="14.25" customHeight="1">
      <c r="J720" s="39"/>
    </row>
    <row r="721" ht="14.25" customHeight="1">
      <c r="J721" s="39"/>
    </row>
    <row r="722" ht="14.25" customHeight="1">
      <c r="J722" s="39"/>
    </row>
    <row r="723" ht="14.25" customHeight="1">
      <c r="J723" s="39"/>
    </row>
    <row r="724" ht="14.25" customHeight="1">
      <c r="J724" s="39"/>
    </row>
    <row r="725" ht="14.25" customHeight="1">
      <c r="J725" s="39"/>
    </row>
    <row r="726" ht="14.25" customHeight="1">
      <c r="J726" s="39"/>
    </row>
    <row r="727" ht="14.25" customHeight="1">
      <c r="J727" s="39"/>
    </row>
    <row r="728" ht="14.25" customHeight="1">
      <c r="J728" s="39"/>
    </row>
    <row r="729" ht="14.25" customHeight="1">
      <c r="J729" s="39"/>
    </row>
    <row r="730" ht="14.25" customHeight="1">
      <c r="J730" s="39"/>
    </row>
    <row r="731" ht="14.25" customHeight="1">
      <c r="J731" s="39"/>
    </row>
    <row r="732" ht="14.25" customHeight="1">
      <c r="J732" s="39"/>
    </row>
    <row r="733" ht="14.25" customHeight="1">
      <c r="J733" s="39"/>
    </row>
    <row r="734" ht="14.25" customHeight="1">
      <c r="J734" s="39"/>
    </row>
    <row r="735" ht="14.25" customHeight="1">
      <c r="J735" s="39"/>
    </row>
    <row r="736" ht="14.25" customHeight="1">
      <c r="J736" s="39"/>
    </row>
    <row r="737" ht="14.25" customHeight="1">
      <c r="J737" s="39"/>
    </row>
    <row r="738" ht="14.25" customHeight="1">
      <c r="J738" s="39"/>
    </row>
    <row r="739" ht="14.25" customHeight="1">
      <c r="J739" s="39"/>
    </row>
    <row r="740" ht="14.25" customHeight="1">
      <c r="J740" s="39"/>
    </row>
    <row r="741" ht="14.25" customHeight="1">
      <c r="J741" s="39"/>
    </row>
    <row r="742" ht="14.25" customHeight="1">
      <c r="J742" s="39"/>
    </row>
    <row r="743" ht="14.25" customHeight="1">
      <c r="J743" s="39"/>
    </row>
    <row r="744" ht="14.25" customHeight="1">
      <c r="J744" s="39"/>
    </row>
    <row r="745" ht="14.25" customHeight="1">
      <c r="J745" s="39"/>
    </row>
    <row r="746" ht="14.25" customHeight="1">
      <c r="J746" s="39"/>
    </row>
    <row r="747" ht="14.25" customHeight="1">
      <c r="J747" s="39"/>
    </row>
    <row r="748" ht="14.25" customHeight="1">
      <c r="J748" s="39"/>
    </row>
    <row r="749" ht="14.25" customHeight="1">
      <c r="J749" s="39"/>
    </row>
    <row r="750" ht="14.25" customHeight="1">
      <c r="J750" s="39"/>
    </row>
    <row r="751" ht="14.25" customHeight="1">
      <c r="J751" s="39"/>
    </row>
    <row r="752" ht="14.25" customHeight="1">
      <c r="J752" s="39"/>
    </row>
    <row r="753" ht="14.25" customHeight="1">
      <c r="J753" s="39"/>
    </row>
    <row r="754" ht="14.25" customHeight="1">
      <c r="J754" s="39"/>
    </row>
    <row r="755" ht="14.25" customHeight="1">
      <c r="J755" s="39"/>
    </row>
    <row r="756" ht="14.25" customHeight="1">
      <c r="J756" s="39"/>
    </row>
    <row r="757" ht="14.25" customHeight="1">
      <c r="J757" s="39"/>
    </row>
    <row r="758" ht="14.25" customHeight="1">
      <c r="J758" s="39"/>
    </row>
    <row r="759" ht="14.25" customHeight="1">
      <c r="J759" s="39"/>
    </row>
    <row r="760" ht="14.25" customHeight="1">
      <c r="J760" s="39"/>
    </row>
    <row r="761" ht="14.25" customHeight="1">
      <c r="J761" s="39"/>
    </row>
    <row r="762" ht="14.25" customHeight="1">
      <c r="J762" s="39"/>
    </row>
    <row r="763" ht="14.25" customHeight="1">
      <c r="J763" s="39"/>
    </row>
    <row r="764" ht="14.25" customHeight="1">
      <c r="J764" s="39"/>
    </row>
    <row r="765" ht="14.25" customHeight="1">
      <c r="J765" s="39"/>
    </row>
    <row r="766" ht="14.25" customHeight="1">
      <c r="J766" s="39"/>
    </row>
    <row r="767" ht="14.25" customHeight="1">
      <c r="J767" s="39"/>
    </row>
    <row r="768" ht="14.25" customHeight="1">
      <c r="J768" s="39"/>
    </row>
    <row r="769" ht="14.25" customHeight="1">
      <c r="J769" s="39"/>
    </row>
    <row r="770" ht="14.25" customHeight="1">
      <c r="J770" s="39"/>
    </row>
    <row r="771" ht="14.25" customHeight="1">
      <c r="J771" s="39"/>
    </row>
    <row r="772" ht="14.25" customHeight="1">
      <c r="J772" s="39"/>
    </row>
    <row r="773" ht="14.25" customHeight="1">
      <c r="J773" s="39"/>
    </row>
    <row r="774" ht="14.25" customHeight="1">
      <c r="J774" s="39"/>
    </row>
    <row r="775" ht="14.25" customHeight="1">
      <c r="J775" s="39"/>
    </row>
    <row r="776" ht="14.25" customHeight="1">
      <c r="J776" s="39"/>
    </row>
    <row r="777" ht="14.25" customHeight="1">
      <c r="J777" s="39"/>
    </row>
    <row r="778" ht="14.25" customHeight="1">
      <c r="J778" s="39"/>
    </row>
    <row r="779" ht="14.25" customHeight="1">
      <c r="J779" s="39"/>
    </row>
    <row r="780" ht="14.25" customHeight="1">
      <c r="J780" s="39"/>
    </row>
    <row r="781" ht="14.25" customHeight="1">
      <c r="J781" s="39"/>
    </row>
    <row r="782" ht="14.25" customHeight="1">
      <c r="J782" s="39"/>
    </row>
    <row r="783" ht="14.25" customHeight="1">
      <c r="J783" s="39"/>
    </row>
    <row r="784" ht="14.25" customHeight="1">
      <c r="J784" s="39"/>
    </row>
    <row r="785" ht="14.25" customHeight="1">
      <c r="J785" s="39"/>
    </row>
    <row r="786" ht="14.25" customHeight="1">
      <c r="J786" s="39"/>
    </row>
    <row r="787" ht="14.25" customHeight="1">
      <c r="J787" s="39"/>
    </row>
    <row r="788" ht="14.25" customHeight="1">
      <c r="J788" s="39"/>
    </row>
    <row r="789" ht="14.25" customHeight="1">
      <c r="J789" s="39"/>
    </row>
    <row r="790" ht="14.25" customHeight="1">
      <c r="J790" s="39"/>
    </row>
    <row r="791" ht="14.25" customHeight="1">
      <c r="J791" s="39"/>
    </row>
    <row r="792" ht="14.25" customHeight="1">
      <c r="J792" s="39"/>
    </row>
    <row r="793" ht="14.25" customHeight="1">
      <c r="J793" s="39"/>
    </row>
    <row r="794" ht="14.25" customHeight="1">
      <c r="J794" s="39"/>
    </row>
    <row r="795" ht="14.25" customHeight="1">
      <c r="J795" s="39"/>
    </row>
    <row r="796" ht="14.25" customHeight="1">
      <c r="J796" s="39"/>
    </row>
    <row r="797" ht="14.25" customHeight="1">
      <c r="J797" s="39"/>
    </row>
    <row r="798" ht="14.25" customHeight="1">
      <c r="J798" s="39"/>
    </row>
    <row r="799" ht="14.25" customHeight="1">
      <c r="J799" s="39"/>
    </row>
    <row r="800" ht="14.25" customHeight="1">
      <c r="J800" s="39"/>
    </row>
    <row r="801" ht="14.25" customHeight="1">
      <c r="J801" s="39"/>
    </row>
    <row r="802" ht="14.25" customHeight="1">
      <c r="J802" s="39"/>
    </row>
    <row r="803" ht="14.25" customHeight="1">
      <c r="J803" s="39"/>
    </row>
    <row r="804" ht="14.25" customHeight="1">
      <c r="J804" s="39"/>
    </row>
    <row r="805" ht="14.25" customHeight="1">
      <c r="J805" s="39"/>
    </row>
    <row r="806" ht="14.25" customHeight="1">
      <c r="J806" s="39"/>
    </row>
    <row r="807" ht="14.25" customHeight="1">
      <c r="J807" s="39"/>
    </row>
    <row r="808" ht="14.25" customHeight="1">
      <c r="J808" s="39"/>
    </row>
    <row r="809" ht="14.25" customHeight="1">
      <c r="J809" s="39"/>
    </row>
    <row r="810" ht="14.25" customHeight="1">
      <c r="J810" s="39"/>
    </row>
    <row r="811" ht="14.25" customHeight="1">
      <c r="J811" s="39"/>
    </row>
    <row r="812" ht="14.25" customHeight="1">
      <c r="J812" s="39"/>
    </row>
    <row r="813" ht="14.25" customHeight="1">
      <c r="J813" s="39"/>
    </row>
    <row r="814" ht="14.25" customHeight="1">
      <c r="J814" s="39"/>
    </row>
    <row r="815" ht="14.25" customHeight="1">
      <c r="J815" s="39"/>
    </row>
    <row r="816" ht="14.25" customHeight="1">
      <c r="J816" s="39"/>
    </row>
    <row r="817" ht="14.25" customHeight="1">
      <c r="J817" s="39"/>
    </row>
    <row r="818" ht="14.25" customHeight="1">
      <c r="J818" s="39"/>
    </row>
    <row r="819" ht="14.25" customHeight="1">
      <c r="J819" s="39"/>
    </row>
    <row r="820" ht="14.25" customHeight="1">
      <c r="J820" s="39"/>
    </row>
    <row r="821" ht="14.25" customHeight="1">
      <c r="J821" s="39"/>
    </row>
    <row r="822" ht="14.25" customHeight="1">
      <c r="J822" s="39"/>
    </row>
    <row r="823" ht="14.25" customHeight="1">
      <c r="J823" s="39"/>
    </row>
    <row r="824" ht="14.25" customHeight="1">
      <c r="J824" s="39"/>
    </row>
    <row r="825" ht="14.25" customHeight="1">
      <c r="J825" s="39"/>
    </row>
    <row r="826" ht="14.25" customHeight="1">
      <c r="J826" s="39"/>
    </row>
    <row r="827" ht="14.25" customHeight="1">
      <c r="J827" s="39"/>
    </row>
    <row r="828" ht="14.25" customHeight="1">
      <c r="J828" s="39"/>
    </row>
    <row r="829" ht="14.25" customHeight="1">
      <c r="J829" s="39"/>
    </row>
    <row r="830" ht="14.25" customHeight="1">
      <c r="J830" s="39"/>
    </row>
    <row r="831" ht="14.25" customHeight="1">
      <c r="J831" s="39"/>
    </row>
    <row r="832" ht="14.25" customHeight="1">
      <c r="J832" s="39"/>
    </row>
    <row r="833" ht="14.25" customHeight="1">
      <c r="J833" s="39"/>
    </row>
    <row r="834" ht="14.25" customHeight="1">
      <c r="J834" s="39"/>
    </row>
    <row r="835" ht="14.25" customHeight="1">
      <c r="J835" s="39"/>
    </row>
    <row r="836" ht="14.25" customHeight="1">
      <c r="J836" s="39"/>
    </row>
    <row r="837" ht="14.25" customHeight="1">
      <c r="J837" s="39"/>
    </row>
    <row r="838" ht="14.25" customHeight="1">
      <c r="J838" s="39"/>
    </row>
    <row r="839" ht="14.25" customHeight="1">
      <c r="J839" s="39"/>
    </row>
    <row r="840" ht="14.25" customHeight="1">
      <c r="J840" s="39"/>
    </row>
    <row r="841" ht="14.25" customHeight="1">
      <c r="J841" s="39"/>
    </row>
    <row r="842" ht="14.25" customHeight="1">
      <c r="J842" s="39"/>
    </row>
    <row r="843" ht="14.25" customHeight="1">
      <c r="J843" s="39"/>
    </row>
    <row r="844" ht="14.25" customHeight="1">
      <c r="J844" s="39"/>
    </row>
    <row r="845" ht="14.25" customHeight="1">
      <c r="J845" s="39"/>
    </row>
    <row r="846" ht="14.25" customHeight="1">
      <c r="J846" s="39"/>
    </row>
    <row r="847" ht="14.25" customHeight="1">
      <c r="J847" s="39"/>
    </row>
    <row r="848" ht="14.25" customHeight="1">
      <c r="J848" s="39"/>
    </row>
    <row r="849" ht="14.25" customHeight="1">
      <c r="J849" s="39"/>
    </row>
    <row r="850" ht="14.25" customHeight="1">
      <c r="J850" s="39"/>
    </row>
    <row r="851" ht="14.25" customHeight="1">
      <c r="J851" s="39"/>
    </row>
    <row r="852" ht="14.25" customHeight="1">
      <c r="J852" s="39"/>
    </row>
    <row r="853" ht="14.25" customHeight="1">
      <c r="J853" s="39"/>
    </row>
    <row r="854" ht="14.25" customHeight="1">
      <c r="J854" s="39"/>
    </row>
    <row r="855" ht="14.25" customHeight="1">
      <c r="J855" s="39"/>
    </row>
    <row r="856" ht="14.25" customHeight="1">
      <c r="J856" s="39"/>
    </row>
    <row r="857" ht="14.25" customHeight="1">
      <c r="J857" s="39"/>
    </row>
    <row r="858" ht="14.25" customHeight="1">
      <c r="J858" s="39"/>
    </row>
    <row r="859" ht="14.25" customHeight="1">
      <c r="J859" s="39"/>
    </row>
    <row r="860" ht="14.25" customHeight="1">
      <c r="J860" s="39"/>
    </row>
    <row r="861" ht="14.25" customHeight="1">
      <c r="J861" s="39"/>
    </row>
    <row r="862" ht="14.25" customHeight="1">
      <c r="J862" s="39"/>
    </row>
    <row r="863" ht="14.25" customHeight="1">
      <c r="J863" s="39"/>
    </row>
    <row r="864" ht="14.25" customHeight="1">
      <c r="J864" s="39"/>
    </row>
    <row r="865" ht="14.25" customHeight="1">
      <c r="J865" s="39"/>
    </row>
    <row r="866" ht="14.25" customHeight="1">
      <c r="J866" s="39"/>
    </row>
    <row r="867" ht="14.25" customHeight="1">
      <c r="J867" s="39"/>
    </row>
    <row r="868" ht="14.25" customHeight="1">
      <c r="J868" s="39"/>
    </row>
    <row r="869" ht="14.25" customHeight="1">
      <c r="J869" s="39"/>
    </row>
    <row r="870" ht="14.25" customHeight="1">
      <c r="J870" s="39"/>
    </row>
    <row r="871" ht="14.25" customHeight="1">
      <c r="J871" s="39"/>
    </row>
    <row r="872" ht="14.25" customHeight="1">
      <c r="J872" s="39"/>
    </row>
    <row r="873" ht="14.25" customHeight="1">
      <c r="J873" s="39"/>
    </row>
    <row r="874" ht="14.25" customHeight="1">
      <c r="J874" s="39"/>
    </row>
    <row r="875" ht="14.25" customHeight="1">
      <c r="J875" s="39"/>
    </row>
    <row r="876" ht="14.25" customHeight="1">
      <c r="J876" s="39"/>
    </row>
    <row r="877" ht="14.25" customHeight="1">
      <c r="J877" s="39"/>
    </row>
    <row r="878" ht="14.25" customHeight="1">
      <c r="J878" s="39"/>
    </row>
    <row r="879" ht="14.25" customHeight="1">
      <c r="J879" s="39"/>
    </row>
    <row r="880" ht="14.25" customHeight="1">
      <c r="J880" s="39"/>
    </row>
    <row r="881" ht="14.25" customHeight="1">
      <c r="J881" s="39"/>
    </row>
    <row r="882" ht="14.25" customHeight="1">
      <c r="J882" s="39"/>
    </row>
    <row r="883" ht="14.25" customHeight="1">
      <c r="J883" s="39"/>
    </row>
    <row r="884" ht="14.25" customHeight="1">
      <c r="J884" s="39"/>
    </row>
    <row r="885" ht="14.25" customHeight="1">
      <c r="J885" s="39"/>
    </row>
    <row r="886" ht="14.25" customHeight="1">
      <c r="J886" s="39"/>
    </row>
    <row r="887" ht="14.25" customHeight="1">
      <c r="J887" s="39"/>
    </row>
    <row r="888" ht="14.25" customHeight="1">
      <c r="J888" s="39"/>
    </row>
    <row r="889" ht="14.25" customHeight="1">
      <c r="J889" s="39"/>
    </row>
    <row r="890" ht="14.25" customHeight="1">
      <c r="J890" s="39"/>
    </row>
    <row r="891" ht="14.25" customHeight="1">
      <c r="J891" s="39"/>
    </row>
    <row r="892" ht="14.25" customHeight="1">
      <c r="J892" s="39"/>
    </row>
    <row r="893" ht="14.25" customHeight="1">
      <c r="J893" s="39"/>
    </row>
    <row r="894" ht="14.25" customHeight="1">
      <c r="J894" s="39"/>
    </row>
    <row r="895" ht="14.25" customHeight="1">
      <c r="J895" s="39"/>
    </row>
    <row r="896" ht="14.25" customHeight="1">
      <c r="J896" s="39"/>
    </row>
    <row r="897" ht="14.25" customHeight="1">
      <c r="J897" s="39"/>
    </row>
    <row r="898" ht="14.25" customHeight="1">
      <c r="J898" s="39"/>
    </row>
    <row r="899" ht="14.25" customHeight="1">
      <c r="J899" s="39"/>
    </row>
    <row r="900" ht="14.25" customHeight="1">
      <c r="J900" s="39"/>
    </row>
    <row r="901" ht="14.25" customHeight="1">
      <c r="J901" s="39"/>
    </row>
    <row r="902" ht="14.25" customHeight="1">
      <c r="J902" s="39"/>
    </row>
    <row r="903" ht="14.25" customHeight="1">
      <c r="J903" s="39"/>
    </row>
    <row r="904" ht="14.25" customHeight="1">
      <c r="J904" s="39"/>
    </row>
    <row r="905" ht="14.25" customHeight="1">
      <c r="J905" s="39"/>
    </row>
    <row r="906" ht="14.25" customHeight="1">
      <c r="J906" s="39"/>
    </row>
    <row r="907" ht="14.25" customHeight="1">
      <c r="J907" s="39"/>
    </row>
    <row r="908" ht="14.25" customHeight="1">
      <c r="J908" s="39"/>
    </row>
    <row r="909" ht="14.25" customHeight="1">
      <c r="J909" s="39"/>
    </row>
    <row r="910" ht="14.25" customHeight="1">
      <c r="J910" s="39"/>
    </row>
    <row r="911" ht="14.25" customHeight="1">
      <c r="J911" s="39"/>
    </row>
    <row r="912" ht="14.25" customHeight="1">
      <c r="J912" s="39"/>
    </row>
    <row r="913" ht="14.25" customHeight="1">
      <c r="J913" s="39"/>
    </row>
    <row r="914" ht="14.25" customHeight="1">
      <c r="J914" s="39"/>
    </row>
    <row r="915" ht="14.25" customHeight="1">
      <c r="J915" s="39"/>
    </row>
    <row r="916" ht="14.25" customHeight="1">
      <c r="J916" s="39"/>
    </row>
    <row r="917" ht="14.25" customHeight="1">
      <c r="J917" s="39"/>
    </row>
    <row r="918" ht="14.25" customHeight="1">
      <c r="J918" s="39"/>
    </row>
    <row r="919" ht="14.25" customHeight="1">
      <c r="J919" s="39"/>
    </row>
    <row r="920" ht="14.25" customHeight="1">
      <c r="J920" s="39"/>
    </row>
    <row r="921" ht="14.25" customHeight="1">
      <c r="J921" s="39"/>
    </row>
    <row r="922" ht="14.25" customHeight="1">
      <c r="J922" s="39"/>
    </row>
    <row r="923" ht="14.25" customHeight="1">
      <c r="J923" s="39"/>
    </row>
    <row r="924" ht="14.25" customHeight="1">
      <c r="J924" s="39"/>
    </row>
    <row r="925" ht="14.25" customHeight="1">
      <c r="J925" s="39"/>
    </row>
    <row r="926" ht="14.25" customHeight="1">
      <c r="J926" s="39"/>
    </row>
    <row r="927" ht="14.25" customHeight="1">
      <c r="J927" s="39"/>
    </row>
    <row r="928" ht="14.25" customHeight="1">
      <c r="J928" s="39"/>
    </row>
    <row r="929" ht="14.25" customHeight="1">
      <c r="J929" s="39"/>
    </row>
    <row r="930" ht="14.25" customHeight="1">
      <c r="J930" s="39"/>
    </row>
    <row r="931" ht="14.25" customHeight="1">
      <c r="J931" s="39"/>
    </row>
    <row r="932" ht="14.25" customHeight="1">
      <c r="J932" s="39"/>
    </row>
    <row r="933" ht="14.25" customHeight="1">
      <c r="J933" s="39"/>
    </row>
    <row r="934" ht="14.25" customHeight="1">
      <c r="J934" s="39"/>
    </row>
    <row r="935" ht="14.25" customHeight="1">
      <c r="J935" s="39"/>
    </row>
    <row r="936" ht="14.25" customHeight="1">
      <c r="J936" s="39"/>
    </row>
    <row r="937" ht="14.25" customHeight="1">
      <c r="J937" s="39"/>
    </row>
    <row r="938" ht="14.25" customHeight="1">
      <c r="J938" s="39"/>
    </row>
    <row r="939" ht="14.25" customHeight="1">
      <c r="J939" s="39"/>
    </row>
    <row r="940" ht="14.25" customHeight="1">
      <c r="J940" s="39"/>
    </row>
    <row r="941" ht="14.25" customHeight="1">
      <c r="J941" s="39"/>
    </row>
    <row r="942" ht="14.25" customHeight="1">
      <c r="J942" s="39"/>
    </row>
    <row r="943" ht="14.25" customHeight="1">
      <c r="J943" s="39"/>
    </row>
    <row r="944" ht="14.25" customHeight="1">
      <c r="J944" s="39"/>
    </row>
    <row r="945" ht="14.25" customHeight="1">
      <c r="J945" s="39"/>
    </row>
    <row r="946" ht="14.25" customHeight="1">
      <c r="J946" s="39"/>
    </row>
    <row r="947" ht="14.25" customHeight="1">
      <c r="J947" s="39"/>
    </row>
    <row r="948" ht="14.25" customHeight="1">
      <c r="J948" s="39"/>
    </row>
    <row r="949" ht="14.25" customHeight="1">
      <c r="J949" s="39"/>
    </row>
    <row r="950" ht="14.25" customHeight="1">
      <c r="J950" s="39"/>
    </row>
    <row r="951" ht="14.25" customHeight="1">
      <c r="J951" s="39"/>
    </row>
    <row r="952" ht="14.25" customHeight="1">
      <c r="J952" s="39"/>
    </row>
    <row r="953" ht="14.25" customHeight="1">
      <c r="J953" s="39"/>
    </row>
    <row r="954" ht="14.25" customHeight="1">
      <c r="J954" s="39"/>
    </row>
    <row r="955" ht="14.25" customHeight="1">
      <c r="J955" s="39"/>
    </row>
    <row r="956" ht="14.25" customHeight="1">
      <c r="J956" s="39"/>
    </row>
    <row r="957" ht="14.25" customHeight="1">
      <c r="J957" s="39"/>
    </row>
    <row r="958" ht="14.25" customHeight="1">
      <c r="J958" s="39"/>
    </row>
    <row r="959" ht="14.25" customHeight="1">
      <c r="J959" s="39"/>
    </row>
    <row r="960" ht="14.25" customHeight="1">
      <c r="J960" s="39"/>
    </row>
    <row r="961" ht="14.25" customHeight="1">
      <c r="J961" s="39"/>
    </row>
    <row r="962" ht="14.25" customHeight="1">
      <c r="J962" s="39"/>
    </row>
    <row r="963" ht="14.25" customHeight="1">
      <c r="J963" s="39"/>
    </row>
    <row r="964" ht="14.25" customHeight="1">
      <c r="J964" s="39"/>
    </row>
    <row r="965" ht="14.25" customHeight="1">
      <c r="J965" s="39"/>
    </row>
    <row r="966" ht="14.25" customHeight="1">
      <c r="J966" s="39"/>
    </row>
    <row r="967" ht="14.25" customHeight="1">
      <c r="J967" s="39"/>
    </row>
    <row r="968" ht="14.25" customHeight="1">
      <c r="J968" s="39"/>
    </row>
    <row r="969" ht="14.25" customHeight="1">
      <c r="J969" s="39"/>
    </row>
    <row r="970" ht="14.25" customHeight="1">
      <c r="J970" s="39"/>
    </row>
    <row r="971" ht="14.25" customHeight="1">
      <c r="J971" s="39"/>
    </row>
    <row r="972" ht="14.25" customHeight="1">
      <c r="J972" s="39"/>
    </row>
    <row r="973" ht="14.25" customHeight="1">
      <c r="J973" s="39"/>
    </row>
    <row r="974" ht="14.25" customHeight="1">
      <c r="J974" s="39"/>
    </row>
    <row r="975" ht="14.25" customHeight="1">
      <c r="J975" s="39"/>
    </row>
    <row r="976" ht="14.25" customHeight="1">
      <c r="J976" s="39"/>
    </row>
    <row r="977" ht="14.25" customHeight="1">
      <c r="J977" s="39"/>
    </row>
    <row r="978" ht="14.25" customHeight="1">
      <c r="J978" s="39"/>
    </row>
    <row r="979" ht="14.25" customHeight="1">
      <c r="J979" s="39"/>
    </row>
    <row r="980" ht="14.25" customHeight="1">
      <c r="J980" s="39"/>
    </row>
    <row r="981" ht="14.25" customHeight="1">
      <c r="J981" s="39"/>
    </row>
    <row r="982" ht="14.25" customHeight="1">
      <c r="J982" s="39"/>
    </row>
    <row r="983" ht="14.25" customHeight="1">
      <c r="J983" s="39"/>
    </row>
    <row r="984" ht="14.25" customHeight="1">
      <c r="J984" s="39"/>
    </row>
    <row r="985" ht="14.25" customHeight="1">
      <c r="J985" s="39"/>
    </row>
    <row r="986" ht="14.25" customHeight="1">
      <c r="J986" s="39"/>
    </row>
    <row r="987" ht="14.25" customHeight="1">
      <c r="J987" s="39"/>
    </row>
    <row r="988" ht="14.25" customHeight="1">
      <c r="J988" s="39"/>
    </row>
    <row r="989" ht="14.25" customHeight="1">
      <c r="J989" s="39"/>
    </row>
    <row r="990" ht="14.25" customHeight="1">
      <c r="J990" s="39"/>
    </row>
    <row r="991" ht="14.25" customHeight="1">
      <c r="J991" s="39"/>
    </row>
    <row r="992" ht="14.25" customHeight="1">
      <c r="J992" s="39"/>
    </row>
    <row r="993" ht="14.25" customHeight="1">
      <c r="J993" s="39"/>
    </row>
    <row r="994" ht="14.25" customHeight="1">
      <c r="J994" s="39"/>
    </row>
    <row r="995" ht="14.25" customHeight="1">
      <c r="J995" s="39"/>
    </row>
    <row r="996" ht="14.25" customHeight="1">
      <c r="J996" s="39"/>
    </row>
    <row r="997" ht="14.25" customHeight="1">
      <c r="J997" s="39"/>
    </row>
    <row r="998" ht="14.25" customHeight="1">
      <c r="J998" s="39"/>
    </row>
    <row r="999" ht="14.25" customHeight="1">
      <c r="J999" s="39"/>
    </row>
    <row r="1000" ht="14.25" customHeight="1">
      <c r="J1000" s="39"/>
    </row>
  </sheetData>
  <autoFilter ref="$A$2:$L$137"/>
  <mergeCells count="1">
    <mergeCell ref="E1:L1"/>
  </mergeCells>
  <conditionalFormatting sqref="L3:L137">
    <cfRule type="cellIs" dxfId="0" priority="1" operator="equal">
      <formula>"To Do"</formula>
    </cfRule>
  </conditionalFormatting>
  <conditionalFormatting sqref="L3:L137">
    <cfRule type="cellIs" dxfId="1" priority="2" operator="equal">
      <formula>"In Progress"</formula>
    </cfRule>
  </conditionalFormatting>
  <conditionalFormatting sqref="L3:L137">
    <cfRule type="cellIs" dxfId="2" priority="3" operator="equal">
      <formula>"In Review"</formula>
    </cfRule>
  </conditionalFormatting>
  <conditionalFormatting sqref="L3:L137">
    <cfRule type="cellIs" dxfId="3" priority="4" operator="equal">
      <formula>"Done"</formula>
    </cfRule>
  </conditionalFormatting>
  <conditionalFormatting sqref="L3:L137">
    <cfRule type="cellIs" dxfId="4" priority="5" operator="equal">
      <formula>"Blocked"</formula>
    </cfRule>
  </conditionalFormatting>
  <dataValidations>
    <dataValidation type="list" allowBlank="1" sqref="L3:L137">
      <formula1>"To Do,In Progress,In Review,Done,Blocked"</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5.0"/>
    <col customWidth="1" min="2" max="2" width="10.0"/>
    <col customWidth="1" min="3" max="3" width="38.14"/>
    <col customWidth="1" min="4" max="4" width="36.29"/>
    <col customWidth="1" min="5" max="5" width="27.86"/>
    <col customWidth="1" min="6" max="6" width="29.43"/>
    <col customWidth="1" min="7" max="26" width="8.71"/>
  </cols>
  <sheetData>
    <row r="1" ht="25.5" customHeight="1">
      <c r="A1" s="3" t="s">
        <v>2</v>
      </c>
      <c r="B1" s="6"/>
      <c r="C1" s="6"/>
      <c r="D1" s="6"/>
      <c r="E1" s="6"/>
      <c r="F1" s="8"/>
      <c r="G1" s="7"/>
      <c r="H1" s="7"/>
      <c r="I1" s="7"/>
      <c r="J1" s="7"/>
      <c r="K1" s="7"/>
      <c r="L1" s="7"/>
      <c r="M1" s="7"/>
      <c r="N1" s="7"/>
      <c r="O1" s="7"/>
      <c r="P1" s="7"/>
      <c r="Q1" s="7"/>
      <c r="R1" s="7"/>
      <c r="S1" s="7"/>
      <c r="T1" s="7"/>
      <c r="U1" s="7"/>
      <c r="V1" s="7"/>
      <c r="W1" s="7"/>
      <c r="X1" s="7"/>
      <c r="Y1" s="7"/>
      <c r="Z1" s="7"/>
    </row>
    <row r="2" ht="30.0" customHeight="1">
      <c r="A2" s="9" t="s">
        <v>26</v>
      </c>
      <c r="B2" s="9" t="s">
        <v>5</v>
      </c>
      <c r="C2" s="9" t="s">
        <v>34</v>
      </c>
      <c r="D2" s="9" t="s">
        <v>37</v>
      </c>
      <c r="E2" s="9" t="s">
        <v>44</v>
      </c>
      <c r="F2" s="9" t="s">
        <v>47</v>
      </c>
      <c r="G2" s="7"/>
      <c r="H2" s="7"/>
      <c r="I2" s="7"/>
      <c r="J2" s="7"/>
      <c r="K2" s="7"/>
      <c r="L2" s="7"/>
      <c r="M2" s="7"/>
      <c r="N2" s="7"/>
      <c r="O2" s="7"/>
      <c r="P2" s="7"/>
      <c r="Q2" s="7"/>
      <c r="R2" s="7"/>
      <c r="S2" s="7"/>
      <c r="T2" s="7"/>
      <c r="U2" s="7"/>
      <c r="V2" s="7"/>
      <c r="W2" s="7"/>
      <c r="X2" s="7"/>
      <c r="Y2" s="7"/>
      <c r="Z2" s="7"/>
    </row>
    <row r="3" ht="54.75" customHeight="1">
      <c r="A3" s="19" t="s">
        <v>68</v>
      </c>
      <c r="B3" s="19" t="s">
        <v>14</v>
      </c>
      <c r="C3" s="19" t="s">
        <v>76</v>
      </c>
      <c r="D3" s="19" t="s">
        <v>79</v>
      </c>
      <c r="E3" s="19" t="s">
        <v>84</v>
      </c>
      <c r="F3" s="19" t="s">
        <v>88</v>
      </c>
      <c r="G3" s="7"/>
      <c r="H3" s="7"/>
      <c r="I3" s="7"/>
      <c r="J3" s="7"/>
      <c r="K3" s="7"/>
      <c r="L3" s="7"/>
      <c r="M3" s="7"/>
      <c r="N3" s="7"/>
      <c r="O3" s="7"/>
      <c r="P3" s="7"/>
      <c r="Q3" s="7"/>
      <c r="R3" s="7"/>
      <c r="S3" s="7"/>
      <c r="T3" s="7"/>
      <c r="U3" s="7"/>
      <c r="V3" s="7"/>
      <c r="W3" s="7"/>
      <c r="X3" s="7"/>
      <c r="Y3" s="7"/>
      <c r="Z3" s="7"/>
    </row>
    <row r="4" ht="33.75" customHeight="1">
      <c r="A4" s="11"/>
      <c r="B4" s="11"/>
      <c r="C4" s="11"/>
      <c r="D4" s="11"/>
      <c r="E4" s="11"/>
      <c r="F4" s="11"/>
      <c r="G4" s="7"/>
      <c r="H4" s="7"/>
      <c r="I4" s="7"/>
      <c r="J4" s="7"/>
      <c r="K4" s="7"/>
      <c r="L4" s="7"/>
      <c r="M4" s="7"/>
      <c r="N4" s="7"/>
      <c r="O4" s="7"/>
      <c r="P4" s="7"/>
      <c r="Q4" s="7"/>
      <c r="R4" s="7"/>
      <c r="S4" s="7"/>
      <c r="T4" s="7"/>
      <c r="U4" s="7"/>
      <c r="V4" s="7"/>
      <c r="W4" s="7"/>
      <c r="X4" s="7"/>
      <c r="Y4" s="7"/>
      <c r="Z4" s="7"/>
    </row>
    <row r="5" ht="33.75" customHeight="1">
      <c r="A5" s="11"/>
      <c r="B5" s="11"/>
      <c r="C5" s="11"/>
      <c r="D5" s="11"/>
      <c r="E5" s="11"/>
      <c r="F5" s="11"/>
      <c r="G5" s="7"/>
      <c r="H5" s="7"/>
      <c r="I5" s="7"/>
      <c r="J5" s="7"/>
      <c r="K5" s="7"/>
      <c r="L5" s="7"/>
      <c r="M5" s="7"/>
      <c r="N5" s="7"/>
      <c r="O5" s="7"/>
      <c r="P5" s="7"/>
      <c r="Q5" s="7"/>
      <c r="R5" s="7"/>
      <c r="S5" s="7"/>
      <c r="T5" s="7"/>
      <c r="U5" s="7"/>
      <c r="V5" s="7"/>
      <c r="W5" s="7"/>
      <c r="X5" s="7"/>
      <c r="Y5" s="7"/>
      <c r="Z5" s="7"/>
    </row>
    <row r="6" ht="33.75" customHeight="1">
      <c r="A6" s="11"/>
      <c r="B6" s="11"/>
      <c r="C6" s="11"/>
      <c r="D6" s="11"/>
      <c r="E6" s="11"/>
      <c r="F6" s="11"/>
      <c r="G6" s="7"/>
      <c r="H6" s="7"/>
      <c r="I6" s="7"/>
      <c r="J6" s="7"/>
      <c r="K6" s="7"/>
      <c r="L6" s="7"/>
      <c r="M6" s="7"/>
      <c r="N6" s="7"/>
      <c r="O6" s="7"/>
      <c r="P6" s="7"/>
      <c r="Q6" s="7"/>
      <c r="R6" s="7"/>
      <c r="S6" s="7"/>
      <c r="T6" s="7"/>
      <c r="U6" s="7"/>
      <c r="V6" s="7"/>
      <c r="W6" s="7"/>
      <c r="X6" s="7"/>
      <c r="Y6" s="7"/>
      <c r="Z6" s="7"/>
    </row>
    <row r="7" ht="33.75" customHeight="1">
      <c r="A7" s="11"/>
      <c r="B7" s="11"/>
      <c r="C7" s="11"/>
      <c r="D7" s="11"/>
      <c r="E7" s="11"/>
      <c r="F7" s="11"/>
      <c r="G7" s="7"/>
      <c r="H7" s="7"/>
      <c r="I7" s="7"/>
      <c r="J7" s="7"/>
      <c r="K7" s="7"/>
      <c r="L7" s="7"/>
      <c r="M7" s="7"/>
      <c r="N7" s="7"/>
      <c r="O7" s="7"/>
      <c r="P7" s="7"/>
      <c r="Q7" s="7"/>
      <c r="R7" s="7"/>
      <c r="S7" s="7"/>
      <c r="T7" s="7"/>
      <c r="U7" s="7"/>
      <c r="V7" s="7"/>
      <c r="W7" s="7"/>
      <c r="X7" s="7"/>
      <c r="Y7" s="7"/>
      <c r="Z7" s="7"/>
    </row>
    <row r="8" ht="33.75" customHeight="1">
      <c r="A8" s="11"/>
      <c r="B8" s="11"/>
      <c r="C8" s="11"/>
      <c r="D8" s="11"/>
      <c r="E8" s="11"/>
      <c r="F8" s="11"/>
      <c r="G8" s="7"/>
      <c r="H8" s="7"/>
      <c r="I8" s="7"/>
      <c r="J8" s="7"/>
      <c r="K8" s="7"/>
      <c r="L8" s="7"/>
      <c r="M8" s="7"/>
      <c r="N8" s="7"/>
      <c r="O8" s="7"/>
      <c r="P8" s="7"/>
      <c r="Q8" s="7"/>
      <c r="R8" s="7"/>
      <c r="S8" s="7"/>
      <c r="T8" s="7"/>
      <c r="U8" s="7"/>
      <c r="V8" s="7"/>
      <c r="W8" s="7"/>
      <c r="X8" s="7"/>
      <c r="Y8" s="7"/>
      <c r="Z8" s="7"/>
    </row>
    <row r="9" ht="33.75" customHeight="1">
      <c r="A9" s="11"/>
      <c r="B9" s="11"/>
      <c r="C9" s="11"/>
      <c r="D9" s="11"/>
      <c r="E9" s="11"/>
      <c r="F9" s="11"/>
      <c r="G9" s="7"/>
      <c r="H9" s="7"/>
      <c r="I9" s="7"/>
      <c r="J9" s="7"/>
      <c r="K9" s="7"/>
      <c r="L9" s="7"/>
      <c r="M9" s="7"/>
      <c r="N9" s="7"/>
      <c r="O9" s="7"/>
      <c r="P9" s="7"/>
      <c r="Q9" s="7"/>
      <c r="R9" s="7"/>
      <c r="S9" s="7"/>
      <c r="T9" s="7"/>
      <c r="U9" s="7"/>
      <c r="V9" s="7"/>
      <c r="W9" s="7"/>
      <c r="X9" s="7"/>
      <c r="Y9" s="7"/>
      <c r="Z9" s="7"/>
    </row>
    <row r="10" ht="33.75" customHeight="1">
      <c r="A10" s="11"/>
      <c r="B10" s="11"/>
      <c r="C10" s="11"/>
      <c r="D10" s="11"/>
      <c r="E10" s="11"/>
      <c r="F10" s="11"/>
      <c r="G10" s="7"/>
      <c r="H10" s="7"/>
      <c r="I10" s="7"/>
      <c r="J10" s="7"/>
      <c r="K10" s="7"/>
      <c r="L10" s="7"/>
      <c r="M10" s="7"/>
      <c r="N10" s="7"/>
      <c r="O10" s="7"/>
      <c r="P10" s="7"/>
      <c r="Q10" s="7"/>
      <c r="R10" s="7"/>
      <c r="S10" s="7"/>
      <c r="T10" s="7"/>
      <c r="U10" s="7"/>
      <c r="V10" s="7"/>
      <c r="W10" s="7"/>
      <c r="X10" s="7"/>
      <c r="Y10" s="7"/>
      <c r="Z10" s="7"/>
    </row>
    <row r="11" ht="33.75" customHeight="1">
      <c r="A11" s="11"/>
      <c r="B11" s="11"/>
      <c r="C11" s="11"/>
      <c r="D11" s="11"/>
      <c r="E11" s="11"/>
      <c r="F11" s="11"/>
      <c r="G11" s="7"/>
      <c r="H11" s="7"/>
      <c r="I11" s="7"/>
      <c r="J11" s="7"/>
      <c r="K11" s="7"/>
      <c r="L11" s="7"/>
      <c r="M11" s="7"/>
      <c r="N11" s="7"/>
      <c r="O11" s="7"/>
      <c r="P11" s="7"/>
      <c r="Q11" s="7"/>
      <c r="R11" s="7"/>
      <c r="S11" s="7"/>
      <c r="T11" s="7"/>
      <c r="U11" s="7"/>
      <c r="V11" s="7"/>
      <c r="W11" s="7"/>
      <c r="X11" s="7"/>
      <c r="Y11" s="7"/>
      <c r="Z11" s="7"/>
    </row>
    <row r="12" ht="33.75" customHeight="1">
      <c r="A12" s="11"/>
      <c r="B12" s="11"/>
      <c r="C12" s="11"/>
      <c r="D12" s="11"/>
      <c r="E12" s="11"/>
      <c r="F12" s="11"/>
      <c r="G12" s="7"/>
      <c r="H12" s="7"/>
      <c r="I12" s="7"/>
      <c r="J12" s="7"/>
      <c r="K12" s="7"/>
      <c r="L12" s="7"/>
      <c r="M12" s="7"/>
      <c r="N12" s="7"/>
      <c r="O12" s="7"/>
      <c r="P12" s="7"/>
      <c r="Q12" s="7"/>
      <c r="R12" s="7"/>
      <c r="S12" s="7"/>
      <c r="T12" s="7"/>
      <c r="U12" s="7"/>
      <c r="V12" s="7"/>
      <c r="W12" s="7"/>
      <c r="X12" s="7"/>
      <c r="Y12" s="7"/>
      <c r="Z12" s="7"/>
    </row>
    <row r="13" ht="33.75" customHeight="1">
      <c r="A13" s="11"/>
      <c r="B13" s="11"/>
      <c r="C13" s="11"/>
      <c r="D13" s="11"/>
      <c r="E13" s="11"/>
      <c r="F13" s="11"/>
      <c r="G13" s="7"/>
      <c r="H13" s="7"/>
      <c r="I13" s="7"/>
      <c r="J13" s="7"/>
      <c r="K13" s="7"/>
      <c r="L13" s="7"/>
      <c r="M13" s="7"/>
      <c r="N13" s="7"/>
      <c r="O13" s="7"/>
      <c r="P13" s="7"/>
      <c r="Q13" s="7"/>
      <c r="R13" s="7"/>
      <c r="S13" s="7"/>
      <c r="T13" s="7"/>
      <c r="U13" s="7"/>
      <c r="V13" s="7"/>
      <c r="W13" s="7"/>
      <c r="X13" s="7"/>
      <c r="Y13" s="7"/>
      <c r="Z13" s="7"/>
    </row>
    <row r="14" ht="33.75" customHeight="1">
      <c r="A14" s="11"/>
      <c r="B14" s="11"/>
      <c r="C14" s="11"/>
      <c r="D14" s="11"/>
      <c r="E14" s="11"/>
      <c r="F14" s="11"/>
      <c r="G14" s="7"/>
      <c r="H14" s="7"/>
      <c r="I14" s="7"/>
      <c r="J14" s="7"/>
      <c r="K14" s="7"/>
      <c r="L14" s="7"/>
      <c r="M14" s="7"/>
      <c r="N14" s="7"/>
      <c r="O14" s="7"/>
      <c r="P14" s="7"/>
      <c r="Q14" s="7"/>
      <c r="R14" s="7"/>
      <c r="S14" s="7"/>
      <c r="T14" s="7"/>
      <c r="U14" s="7"/>
      <c r="V14" s="7"/>
      <c r="W14" s="7"/>
      <c r="X14" s="7"/>
      <c r="Y14" s="7"/>
      <c r="Z14" s="7"/>
    </row>
    <row r="15" ht="33.75" customHeight="1">
      <c r="A15" s="11"/>
      <c r="B15" s="11"/>
      <c r="C15" s="11"/>
      <c r="D15" s="11"/>
      <c r="E15" s="11"/>
      <c r="F15" s="11"/>
      <c r="G15" s="7"/>
      <c r="H15" s="7"/>
      <c r="I15" s="7"/>
      <c r="J15" s="7"/>
      <c r="K15" s="7"/>
      <c r="L15" s="7"/>
      <c r="M15" s="7"/>
      <c r="N15" s="7"/>
      <c r="O15" s="7"/>
      <c r="P15" s="7"/>
      <c r="Q15" s="7"/>
      <c r="R15" s="7"/>
      <c r="S15" s="7"/>
      <c r="T15" s="7"/>
      <c r="U15" s="7"/>
      <c r="V15" s="7"/>
      <c r="W15" s="7"/>
      <c r="X15" s="7"/>
      <c r="Y15" s="7"/>
      <c r="Z15" s="7"/>
    </row>
    <row r="16" ht="33.75" customHeight="1">
      <c r="A16" s="11"/>
      <c r="B16" s="11"/>
      <c r="C16" s="11"/>
      <c r="D16" s="11"/>
      <c r="E16" s="11"/>
      <c r="F16" s="11"/>
      <c r="G16" s="7"/>
      <c r="H16" s="7"/>
      <c r="I16" s="7"/>
      <c r="J16" s="7"/>
      <c r="K16" s="7"/>
      <c r="L16" s="7"/>
      <c r="M16" s="7"/>
      <c r="N16" s="7"/>
      <c r="O16" s="7"/>
      <c r="P16" s="7"/>
      <c r="Q16" s="7"/>
      <c r="R16" s="7"/>
      <c r="S16" s="7"/>
      <c r="T16" s="7"/>
      <c r="U16" s="7"/>
      <c r="V16" s="7"/>
      <c r="W16" s="7"/>
      <c r="X16" s="7"/>
      <c r="Y16" s="7"/>
      <c r="Z16" s="7"/>
    </row>
    <row r="17" ht="33.75" customHeight="1">
      <c r="A17" s="11"/>
      <c r="B17" s="11"/>
      <c r="C17" s="11"/>
      <c r="D17" s="11"/>
      <c r="E17" s="11"/>
      <c r="F17" s="11"/>
      <c r="G17" s="7"/>
      <c r="H17" s="7"/>
      <c r="I17" s="7"/>
      <c r="J17" s="7"/>
      <c r="K17" s="7"/>
      <c r="L17" s="7"/>
      <c r="M17" s="7"/>
      <c r="N17" s="7"/>
      <c r="O17" s="7"/>
      <c r="P17" s="7"/>
      <c r="Q17" s="7"/>
      <c r="R17" s="7"/>
      <c r="S17" s="7"/>
      <c r="T17" s="7"/>
      <c r="U17" s="7"/>
      <c r="V17" s="7"/>
      <c r="W17" s="7"/>
      <c r="X17" s="7"/>
      <c r="Y17" s="7"/>
      <c r="Z17" s="7"/>
    </row>
    <row r="18" ht="33.75" customHeight="1">
      <c r="A18" s="11"/>
      <c r="B18" s="11"/>
      <c r="C18" s="11"/>
      <c r="D18" s="11"/>
      <c r="E18" s="11"/>
      <c r="F18" s="11"/>
      <c r="G18" s="7"/>
      <c r="H18" s="7"/>
      <c r="I18" s="7"/>
      <c r="J18" s="7"/>
      <c r="K18" s="7"/>
      <c r="L18" s="7"/>
      <c r="M18" s="7"/>
      <c r="N18" s="7"/>
      <c r="O18" s="7"/>
      <c r="P18" s="7"/>
      <c r="Q18" s="7"/>
      <c r="R18" s="7"/>
      <c r="S18" s="7"/>
      <c r="T18" s="7"/>
      <c r="U18" s="7"/>
      <c r="V18" s="7"/>
      <c r="W18" s="7"/>
      <c r="X18" s="7"/>
      <c r="Y18" s="7"/>
      <c r="Z18" s="7"/>
    </row>
    <row r="19" ht="33.75" customHeight="1">
      <c r="A19" s="11"/>
      <c r="B19" s="11"/>
      <c r="C19" s="11"/>
      <c r="D19" s="11"/>
      <c r="E19" s="11"/>
      <c r="F19" s="11"/>
      <c r="G19" s="7"/>
      <c r="H19" s="7"/>
      <c r="I19" s="7"/>
      <c r="J19" s="7"/>
      <c r="K19" s="7"/>
      <c r="L19" s="7"/>
      <c r="M19" s="7"/>
      <c r="N19" s="7"/>
      <c r="O19" s="7"/>
      <c r="P19" s="7"/>
      <c r="Q19" s="7"/>
      <c r="R19" s="7"/>
      <c r="S19" s="7"/>
      <c r="T19" s="7"/>
      <c r="U19" s="7"/>
      <c r="V19" s="7"/>
      <c r="W19" s="7"/>
      <c r="X19" s="7"/>
      <c r="Y19" s="7"/>
      <c r="Z19" s="7"/>
    </row>
    <row r="20" ht="33.75" customHeight="1">
      <c r="A20" s="11"/>
      <c r="B20" s="11"/>
      <c r="C20" s="11"/>
      <c r="D20" s="11"/>
      <c r="E20" s="11"/>
      <c r="F20" s="11"/>
      <c r="G20" s="7"/>
      <c r="H20" s="7"/>
      <c r="I20" s="7"/>
      <c r="J20" s="7"/>
      <c r="K20" s="7"/>
      <c r="L20" s="7"/>
      <c r="M20" s="7"/>
      <c r="N20" s="7"/>
      <c r="O20" s="7"/>
      <c r="P20" s="7"/>
      <c r="Q20" s="7"/>
      <c r="R20" s="7"/>
      <c r="S20" s="7"/>
      <c r="T20" s="7"/>
      <c r="U20" s="7"/>
      <c r="V20" s="7"/>
      <c r="W20" s="7"/>
      <c r="X20" s="7"/>
      <c r="Y20" s="7"/>
      <c r="Z20" s="7"/>
    </row>
    <row r="21" ht="33.75" customHeight="1">
      <c r="A21" s="11"/>
      <c r="B21" s="11"/>
      <c r="C21" s="11"/>
      <c r="D21" s="11"/>
      <c r="E21" s="11"/>
      <c r="F21" s="11"/>
      <c r="G21" s="7"/>
      <c r="H21" s="7"/>
      <c r="I21" s="7"/>
      <c r="J21" s="7"/>
      <c r="K21" s="7"/>
      <c r="L21" s="7"/>
      <c r="M21" s="7"/>
      <c r="N21" s="7"/>
      <c r="O21" s="7"/>
      <c r="P21" s="7"/>
      <c r="Q21" s="7"/>
      <c r="R21" s="7"/>
      <c r="S21" s="7"/>
      <c r="T21" s="7"/>
      <c r="U21" s="7"/>
      <c r="V21" s="7"/>
      <c r="W21" s="7"/>
      <c r="X21" s="7"/>
      <c r="Y21" s="7"/>
      <c r="Z21" s="7"/>
    </row>
    <row r="22" ht="33.75" customHeight="1">
      <c r="A22" s="11"/>
      <c r="B22" s="11"/>
      <c r="C22" s="11"/>
      <c r="D22" s="11"/>
      <c r="E22" s="11"/>
      <c r="F22" s="11"/>
      <c r="G22" s="7"/>
      <c r="H22" s="7"/>
      <c r="I22" s="7"/>
      <c r="J22" s="7"/>
      <c r="K22" s="7"/>
      <c r="L22" s="7"/>
      <c r="M22" s="7"/>
      <c r="N22" s="7"/>
      <c r="O22" s="7"/>
      <c r="P22" s="7"/>
      <c r="Q22" s="7"/>
      <c r="R22" s="7"/>
      <c r="S22" s="7"/>
      <c r="T22" s="7"/>
      <c r="U22" s="7"/>
      <c r="V22" s="7"/>
      <c r="W22" s="7"/>
      <c r="X22" s="7"/>
      <c r="Y22" s="7"/>
      <c r="Z22" s="7"/>
    </row>
    <row r="23" ht="33.75" customHeight="1">
      <c r="A23" s="11"/>
      <c r="B23" s="11"/>
      <c r="C23" s="11"/>
      <c r="D23" s="11"/>
      <c r="E23" s="11"/>
      <c r="F23" s="11"/>
      <c r="G23" s="7"/>
      <c r="H23" s="7"/>
      <c r="I23" s="7"/>
      <c r="J23" s="7"/>
      <c r="K23" s="7"/>
      <c r="L23" s="7"/>
      <c r="M23" s="7"/>
      <c r="N23" s="7"/>
      <c r="O23" s="7"/>
      <c r="P23" s="7"/>
      <c r="Q23" s="7"/>
      <c r="R23" s="7"/>
      <c r="S23" s="7"/>
      <c r="T23" s="7"/>
      <c r="U23" s="7"/>
      <c r="V23" s="7"/>
      <c r="W23" s="7"/>
      <c r="X23" s="7"/>
      <c r="Y23" s="7"/>
      <c r="Z23" s="7"/>
    </row>
    <row r="24" ht="33.75" customHeight="1">
      <c r="A24" s="11"/>
      <c r="B24" s="11"/>
      <c r="C24" s="11"/>
      <c r="D24" s="11"/>
      <c r="E24" s="11"/>
      <c r="F24" s="11"/>
      <c r="G24" s="7"/>
      <c r="H24" s="7"/>
      <c r="I24" s="7"/>
      <c r="J24" s="7"/>
      <c r="K24" s="7"/>
      <c r="L24" s="7"/>
      <c r="M24" s="7"/>
      <c r="N24" s="7"/>
      <c r="O24" s="7"/>
      <c r="P24" s="7"/>
      <c r="Q24" s="7"/>
      <c r="R24" s="7"/>
      <c r="S24" s="7"/>
      <c r="T24" s="7"/>
      <c r="U24" s="7"/>
      <c r="V24" s="7"/>
      <c r="W24" s="7"/>
      <c r="X24" s="7"/>
      <c r="Y24" s="7"/>
      <c r="Z24" s="7"/>
    </row>
    <row r="25" ht="33.75" customHeight="1">
      <c r="A25" s="11"/>
      <c r="B25" s="11"/>
      <c r="C25" s="11"/>
      <c r="D25" s="11"/>
      <c r="E25" s="11"/>
      <c r="F25" s="11"/>
      <c r="G25" s="7"/>
      <c r="H25" s="7"/>
      <c r="I25" s="7"/>
      <c r="J25" s="7"/>
      <c r="K25" s="7"/>
      <c r="L25" s="7"/>
      <c r="M25" s="7"/>
      <c r="N25" s="7"/>
      <c r="O25" s="7"/>
      <c r="P25" s="7"/>
      <c r="Q25" s="7"/>
      <c r="R25" s="7"/>
      <c r="S25" s="7"/>
      <c r="T25" s="7"/>
      <c r="U25" s="7"/>
      <c r="V25" s="7"/>
      <c r="W25" s="7"/>
      <c r="X25" s="7"/>
      <c r="Y25" s="7"/>
      <c r="Z25" s="7"/>
    </row>
    <row r="26" ht="33.75" customHeight="1">
      <c r="A26" s="11"/>
      <c r="B26" s="11"/>
      <c r="C26" s="11"/>
      <c r="D26" s="11"/>
      <c r="E26" s="11"/>
      <c r="F26" s="11"/>
      <c r="G26" s="7"/>
      <c r="H26" s="7"/>
      <c r="I26" s="7"/>
      <c r="J26" s="7"/>
      <c r="K26" s="7"/>
      <c r="L26" s="7"/>
      <c r="M26" s="7"/>
      <c r="N26" s="7"/>
      <c r="O26" s="7"/>
      <c r="P26" s="7"/>
      <c r="Q26" s="7"/>
      <c r="R26" s="7"/>
      <c r="S26" s="7"/>
      <c r="T26" s="7"/>
      <c r="U26" s="7"/>
      <c r="V26" s="7"/>
      <c r="W26" s="7"/>
      <c r="X26" s="7"/>
      <c r="Y26" s="7"/>
      <c r="Z26" s="7"/>
    </row>
    <row r="27" ht="33.75" customHeight="1">
      <c r="A27" s="11"/>
      <c r="B27" s="11"/>
      <c r="C27" s="11"/>
      <c r="D27" s="11"/>
      <c r="E27" s="11"/>
      <c r="F27" s="11"/>
      <c r="G27" s="7"/>
      <c r="H27" s="7"/>
      <c r="I27" s="7"/>
      <c r="J27" s="7"/>
      <c r="K27" s="7"/>
      <c r="L27" s="7"/>
      <c r="M27" s="7"/>
      <c r="N27" s="7"/>
      <c r="O27" s="7"/>
      <c r="P27" s="7"/>
      <c r="Q27" s="7"/>
      <c r="R27" s="7"/>
      <c r="S27" s="7"/>
      <c r="T27" s="7"/>
      <c r="U27" s="7"/>
      <c r="V27" s="7"/>
      <c r="W27" s="7"/>
      <c r="X27" s="7"/>
      <c r="Y27" s="7"/>
      <c r="Z27" s="7"/>
    </row>
    <row r="28" ht="33.75" customHeight="1">
      <c r="A28" s="11"/>
      <c r="B28" s="11"/>
      <c r="C28" s="11"/>
      <c r="D28" s="11"/>
      <c r="E28" s="11"/>
      <c r="F28" s="11"/>
      <c r="G28" s="7"/>
      <c r="H28" s="7"/>
      <c r="I28" s="7"/>
      <c r="J28" s="7"/>
      <c r="K28" s="7"/>
      <c r="L28" s="7"/>
      <c r="M28" s="7"/>
      <c r="N28" s="7"/>
      <c r="O28" s="7"/>
      <c r="P28" s="7"/>
      <c r="Q28" s="7"/>
      <c r="R28" s="7"/>
      <c r="S28" s="7"/>
      <c r="T28" s="7"/>
      <c r="U28" s="7"/>
      <c r="V28" s="7"/>
      <c r="W28" s="7"/>
      <c r="X28" s="7"/>
      <c r="Y28" s="7"/>
      <c r="Z28" s="7"/>
    </row>
    <row r="29" ht="33.75" customHeight="1">
      <c r="A29" s="11"/>
      <c r="B29" s="11"/>
      <c r="C29" s="11"/>
      <c r="D29" s="11"/>
      <c r="E29" s="11"/>
      <c r="F29" s="11"/>
      <c r="G29" s="7"/>
      <c r="H29" s="7"/>
      <c r="I29" s="7"/>
      <c r="J29" s="7"/>
      <c r="K29" s="7"/>
      <c r="L29" s="7"/>
      <c r="M29" s="7"/>
      <c r="N29" s="7"/>
      <c r="O29" s="7"/>
      <c r="P29" s="7"/>
      <c r="Q29" s="7"/>
      <c r="R29" s="7"/>
      <c r="S29" s="7"/>
      <c r="T29" s="7"/>
      <c r="U29" s="7"/>
      <c r="V29" s="7"/>
      <c r="W29" s="7"/>
      <c r="X29" s="7"/>
      <c r="Y29" s="7"/>
      <c r="Z29" s="7"/>
    </row>
    <row r="30" ht="33.75" customHeight="1">
      <c r="A30" s="11"/>
      <c r="B30" s="11"/>
      <c r="C30" s="11"/>
      <c r="D30" s="11"/>
      <c r="E30" s="11"/>
      <c r="F30" s="11"/>
      <c r="G30" s="7"/>
      <c r="H30" s="7"/>
      <c r="I30" s="7"/>
      <c r="J30" s="7"/>
      <c r="K30" s="7"/>
      <c r="L30" s="7"/>
      <c r="M30" s="7"/>
      <c r="N30" s="7"/>
      <c r="O30" s="7"/>
      <c r="P30" s="7"/>
      <c r="Q30" s="7"/>
      <c r="R30" s="7"/>
      <c r="S30" s="7"/>
      <c r="T30" s="7"/>
      <c r="U30" s="7"/>
      <c r="V30" s="7"/>
      <c r="W30" s="7"/>
      <c r="X30" s="7"/>
      <c r="Y30" s="7"/>
      <c r="Z30" s="7"/>
    </row>
    <row r="31" ht="33.75" customHeight="1">
      <c r="A31" s="11"/>
      <c r="B31" s="11"/>
      <c r="C31" s="11"/>
      <c r="D31" s="11"/>
      <c r="E31" s="11"/>
      <c r="F31" s="11"/>
      <c r="G31" s="7"/>
      <c r="H31" s="7"/>
      <c r="I31" s="7"/>
      <c r="J31" s="7"/>
      <c r="K31" s="7"/>
      <c r="L31" s="7"/>
      <c r="M31" s="7"/>
      <c r="N31" s="7"/>
      <c r="O31" s="7"/>
      <c r="P31" s="7"/>
      <c r="Q31" s="7"/>
      <c r="R31" s="7"/>
      <c r="S31" s="7"/>
      <c r="T31" s="7"/>
      <c r="U31" s="7"/>
      <c r="V31" s="7"/>
      <c r="W31" s="7"/>
      <c r="X31" s="7"/>
      <c r="Y31" s="7"/>
      <c r="Z31" s="7"/>
    </row>
    <row r="32" ht="33.75" customHeight="1">
      <c r="A32" s="11"/>
      <c r="B32" s="11"/>
      <c r="C32" s="11"/>
      <c r="D32" s="11"/>
      <c r="E32" s="11"/>
      <c r="F32" s="11"/>
      <c r="G32" s="7"/>
      <c r="H32" s="7"/>
      <c r="I32" s="7"/>
      <c r="J32" s="7"/>
      <c r="K32" s="7"/>
      <c r="L32" s="7"/>
      <c r="M32" s="7"/>
      <c r="N32" s="7"/>
      <c r="O32" s="7"/>
      <c r="P32" s="7"/>
      <c r="Q32" s="7"/>
      <c r="R32" s="7"/>
      <c r="S32" s="7"/>
      <c r="T32" s="7"/>
      <c r="U32" s="7"/>
      <c r="V32" s="7"/>
      <c r="W32" s="7"/>
      <c r="X32" s="7"/>
      <c r="Y32" s="7"/>
      <c r="Z32" s="7"/>
    </row>
    <row r="33" ht="33.75" customHeight="1">
      <c r="A33" s="11"/>
      <c r="B33" s="11"/>
      <c r="C33" s="11"/>
      <c r="D33" s="11"/>
      <c r="E33" s="11"/>
      <c r="F33" s="11"/>
      <c r="G33" s="7"/>
      <c r="H33" s="7"/>
      <c r="I33" s="7"/>
      <c r="J33" s="7"/>
      <c r="K33" s="7"/>
      <c r="L33" s="7"/>
      <c r="M33" s="7"/>
      <c r="N33" s="7"/>
      <c r="O33" s="7"/>
      <c r="P33" s="7"/>
      <c r="Q33" s="7"/>
      <c r="R33" s="7"/>
      <c r="S33" s="7"/>
      <c r="T33" s="7"/>
      <c r="U33" s="7"/>
      <c r="V33" s="7"/>
      <c r="W33" s="7"/>
      <c r="X33" s="7"/>
      <c r="Y33" s="7"/>
      <c r="Z33" s="7"/>
    </row>
    <row r="34" ht="33.75" customHeight="1">
      <c r="A34" s="11"/>
      <c r="B34" s="11"/>
      <c r="C34" s="11"/>
      <c r="D34" s="11"/>
      <c r="E34" s="11"/>
      <c r="F34" s="11"/>
      <c r="G34" s="7"/>
      <c r="H34" s="7"/>
      <c r="I34" s="7"/>
      <c r="J34" s="7"/>
      <c r="K34" s="7"/>
      <c r="L34" s="7"/>
      <c r="M34" s="7"/>
      <c r="N34" s="7"/>
      <c r="O34" s="7"/>
      <c r="P34" s="7"/>
      <c r="Q34" s="7"/>
      <c r="R34" s="7"/>
      <c r="S34" s="7"/>
      <c r="T34" s="7"/>
      <c r="U34" s="7"/>
      <c r="V34" s="7"/>
      <c r="W34" s="7"/>
      <c r="X34" s="7"/>
      <c r="Y34" s="7"/>
      <c r="Z34" s="7"/>
    </row>
    <row r="35" ht="33.75" customHeight="1">
      <c r="A35" s="11"/>
      <c r="B35" s="11"/>
      <c r="C35" s="11"/>
      <c r="D35" s="11"/>
      <c r="E35" s="11"/>
      <c r="F35" s="11"/>
      <c r="G35" s="7"/>
      <c r="H35" s="7"/>
      <c r="I35" s="7"/>
      <c r="J35" s="7"/>
      <c r="K35" s="7"/>
      <c r="L35" s="7"/>
      <c r="M35" s="7"/>
      <c r="N35" s="7"/>
      <c r="O35" s="7"/>
      <c r="P35" s="7"/>
      <c r="Q35" s="7"/>
      <c r="R35" s="7"/>
      <c r="S35" s="7"/>
      <c r="T35" s="7"/>
      <c r="U35" s="7"/>
      <c r="V35" s="7"/>
      <c r="W35" s="7"/>
      <c r="X35" s="7"/>
      <c r="Y35" s="7"/>
      <c r="Z35" s="7"/>
    </row>
    <row r="36" ht="33.75" customHeight="1">
      <c r="A36" s="11"/>
      <c r="B36" s="11"/>
      <c r="C36" s="11"/>
      <c r="D36" s="11"/>
      <c r="E36" s="11"/>
      <c r="F36" s="11"/>
      <c r="G36" s="7"/>
      <c r="H36" s="7"/>
      <c r="I36" s="7"/>
      <c r="J36" s="7"/>
      <c r="K36" s="7"/>
      <c r="L36" s="7"/>
      <c r="M36" s="7"/>
      <c r="N36" s="7"/>
      <c r="O36" s="7"/>
      <c r="P36" s="7"/>
      <c r="Q36" s="7"/>
      <c r="R36" s="7"/>
      <c r="S36" s="7"/>
      <c r="T36" s="7"/>
      <c r="U36" s="7"/>
      <c r="V36" s="7"/>
      <c r="W36" s="7"/>
      <c r="X36" s="7"/>
      <c r="Y36" s="7"/>
      <c r="Z36" s="7"/>
    </row>
    <row r="37" ht="33.75" customHeight="1">
      <c r="A37" s="11"/>
      <c r="B37" s="11"/>
      <c r="C37" s="11"/>
      <c r="D37" s="11"/>
      <c r="E37" s="11"/>
      <c r="F37" s="11"/>
      <c r="G37" s="7"/>
      <c r="H37" s="7"/>
      <c r="I37" s="7"/>
      <c r="J37" s="7"/>
      <c r="K37" s="7"/>
      <c r="L37" s="7"/>
      <c r="M37" s="7"/>
      <c r="N37" s="7"/>
      <c r="O37" s="7"/>
      <c r="P37" s="7"/>
      <c r="Q37" s="7"/>
      <c r="R37" s="7"/>
      <c r="S37" s="7"/>
      <c r="T37" s="7"/>
      <c r="U37" s="7"/>
      <c r="V37" s="7"/>
      <c r="W37" s="7"/>
      <c r="X37" s="7"/>
      <c r="Y37" s="7"/>
      <c r="Z37" s="7"/>
    </row>
    <row r="38" ht="33.75" customHeight="1">
      <c r="A38" s="11"/>
      <c r="B38" s="11"/>
      <c r="C38" s="11"/>
      <c r="D38" s="11"/>
      <c r="E38" s="11"/>
      <c r="F38" s="11"/>
      <c r="G38" s="7"/>
      <c r="H38" s="7"/>
      <c r="I38" s="7"/>
      <c r="J38" s="7"/>
      <c r="K38" s="7"/>
      <c r="L38" s="7"/>
      <c r="M38" s="7"/>
      <c r="N38" s="7"/>
      <c r="O38" s="7"/>
      <c r="P38" s="7"/>
      <c r="Q38" s="7"/>
      <c r="R38" s="7"/>
      <c r="S38" s="7"/>
      <c r="T38" s="7"/>
      <c r="U38" s="7"/>
      <c r="V38" s="7"/>
      <c r="W38" s="7"/>
      <c r="X38" s="7"/>
      <c r="Y38" s="7"/>
      <c r="Z38" s="7"/>
    </row>
    <row r="39" ht="33.75" customHeight="1">
      <c r="A39" s="11"/>
      <c r="B39" s="11"/>
      <c r="C39" s="11"/>
      <c r="D39" s="11"/>
      <c r="E39" s="11"/>
      <c r="F39" s="11"/>
      <c r="G39" s="7"/>
      <c r="H39" s="7"/>
      <c r="I39" s="7"/>
      <c r="J39" s="7"/>
      <c r="K39" s="7"/>
      <c r="L39" s="7"/>
      <c r="M39" s="7"/>
      <c r="N39" s="7"/>
      <c r="O39" s="7"/>
      <c r="P39" s="7"/>
      <c r="Q39" s="7"/>
      <c r="R39" s="7"/>
      <c r="S39" s="7"/>
      <c r="T39" s="7"/>
      <c r="U39" s="7"/>
      <c r="V39" s="7"/>
      <c r="W39" s="7"/>
      <c r="X39" s="7"/>
      <c r="Y39" s="7"/>
      <c r="Z39" s="7"/>
    </row>
    <row r="40" ht="33.75" customHeight="1">
      <c r="A40" s="11"/>
      <c r="B40" s="11"/>
      <c r="C40" s="11"/>
      <c r="D40" s="11"/>
      <c r="E40" s="11"/>
      <c r="F40" s="11"/>
      <c r="G40" s="7"/>
      <c r="H40" s="7"/>
      <c r="I40" s="7"/>
      <c r="J40" s="7"/>
      <c r="K40" s="7"/>
      <c r="L40" s="7"/>
      <c r="M40" s="7"/>
      <c r="N40" s="7"/>
      <c r="O40" s="7"/>
      <c r="P40" s="7"/>
      <c r="Q40" s="7"/>
      <c r="R40" s="7"/>
      <c r="S40" s="7"/>
      <c r="T40" s="7"/>
      <c r="U40" s="7"/>
      <c r="V40" s="7"/>
      <c r="W40" s="7"/>
      <c r="X40" s="7"/>
      <c r="Y40" s="7"/>
      <c r="Z40" s="7"/>
    </row>
    <row r="41" ht="33.75" customHeight="1">
      <c r="A41" s="11"/>
      <c r="B41" s="11"/>
      <c r="C41" s="11"/>
      <c r="D41" s="11"/>
      <c r="E41" s="11"/>
      <c r="F41" s="11"/>
      <c r="G41" s="7"/>
      <c r="H41" s="7"/>
      <c r="I41" s="7"/>
      <c r="J41" s="7"/>
      <c r="K41" s="7"/>
      <c r="L41" s="7"/>
      <c r="M41" s="7"/>
      <c r="N41" s="7"/>
      <c r="O41" s="7"/>
      <c r="P41" s="7"/>
      <c r="Q41" s="7"/>
      <c r="R41" s="7"/>
      <c r="S41" s="7"/>
      <c r="T41" s="7"/>
      <c r="U41" s="7"/>
      <c r="V41" s="7"/>
      <c r="W41" s="7"/>
      <c r="X41" s="7"/>
      <c r="Y41" s="7"/>
      <c r="Z41" s="7"/>
    </row>
    <row r="42" ht="33.75" customHeight="1">
      <c r="A42" s="11"/>
      <c r="B42" s="11"/>
      <c r="C42" s="11"/>
      <c r="D42" s="11"/>
      <c r="E42" s="11"/>
      <c r="F42" s="11"/>
      <c r="G42" s="7"/>
      <c r="H42" s="7"/>
      <c r="I42" s="7"/>
      <c r="J42" s="7"/>
      <c r="K42" s="7"/>
      <c r="L42" s="7"/>
      <c r="M42" s="7"/>
      <c r="N42" s="7"/>
      <c r="O42" s="7"/>
      <c r="P42" s="7"/>
      <c r="Q42" s="7"/>
      <c r="R42" s="7"/>
      <c r="S42" s="7"/>
      <c r="T42" s="7"/>
      <c r="U42" s="7"/>
      <c r="V42" s="7"/>
      <c r="W42" s="7"/>
      <c r="X42" s="7"/>
      <c r="Y42" s="7"/>
      <c r="Z42" s="7"/>
    </row>
    <row r="43" ht="33.75" customHeight="1">
      <c r="A43" s="11"/>
      <c r="B43" s="11"/>
      <c r="C43" s="11"/>
      <c r="D43" s="11"/>
      <c r="E43" s="11"/>
      <c r="F43" s="11"/>
      <c r="G43" s="7"/>
      <c r="H43" s="7"/>
      <c r="I43" s="7"/>
      <c r="J43" s="7"/>
      <c r="K43" s="7"/>
      <c r="L43" s="7"/>
      <c r="M43" s="7"/>
      <c r="N43" s="7"/>
      <c r="O43" s="7"/>
      <c r="P43" s="7"/>
      <c r="Q43" s="7"/>
      <c r="R43" s="7"/>
      <c r="S43" s="7"/>
      <c r="T43" s="7"/>
      <c r="U43" s="7"/>
      <c r="V43" s="7"/>
      <c r="W43" s="7"/>
      <c r="X43" s="7"/>
      <c r="Y43" s="7"/>
      <c r="Z43" s="7"/>
    </row>
    <row r="44" ht="33.75" customHeight="1">
      <c r="A44" s="11"/>
      <c r="B44" s="11"/>
      <c r="C44" s="11"/>
      <c r="D44" s="11"/>
      <c r="E44" s="11"/>
      <c r="F44" s="11"/>
      <c r="G44" s="7"/>
      <c r="H44" s="7"/>
      <c r="I44" s="7"/>
      <c r="J44" s="7"/>
      <c r="K44" s="7"/>
      <c r="L44" s="7"/>
      <c r="M44" s="7"/>
      <c r="N44" s="7"/>
      <c r="O44" s="7"/>
      <c r="P44" s="7"/>
      <c r="Q44" s="7"/>
      <c r="R44" s="7"/>
      <c r="S44" s="7"/>
      <c r="T44" s="7"/>
      <c r="U44" s="7"/>
      <c r="V44" s="7"/>
      <c r="W44" s="7"/>
      <c r="X44" s="7"/>
      <c r="Y44" s="7"/>
      <c r="Z44" s="7"/>
    </row>
    <row r="45" ht="33.75" customHeight="1">
      <c r="A45" s="11"/>
      <c r="B45" s="11"/>
      <c r="C45" s="11"/>
      <c r="D45" s="11"/>
      <c r="E45" s="11"/>
      <c r="F45" s="11"/>
      <c r="G45" s="7"/>
      <c r="H45" s="7"/>
      <c r="I45" s="7"/>
      <c r="J45" s="7"/>
      <c r="K45" s="7"/>
      <c r="L45" s="7"/>
      <c r="M45" s="7"/>
      <c r="N45" s="7"/>
      <c r="O45" s="7"/>
      <c r="P45" s="7"/>
      <c r="Q45" s="7"/>
      <c r="R45" s="7"/>
      <c r="S45" s="7"/>
      <c r="T45" s="7"/>
      <c r="U45" s="7"/>
      <c r="V45" s="7"/>
      <c r="W45" s="7"/>
      <c r="X45" s="7"/>
      <c r="Y45" s="7"/>
      <c r="Z45" s="7"/>
    </row>
    <row r="46" ht="33.75" customHeight="1">
      <c r="A46" s="11"/>
      <c r="B46" s="11"/>
      <c r="C46" s="11"/>
      <c r="D46" s="11"/>
      <c r="E46" s="11"/>
      <c r="F46" s="11"/>
      <c r="G46" s="7"/>
      <c r="H46" s="7"/>
      <c r="I46" s="7"/>
      <c r="J46" s="7"/>
      <c r="K46" s="7"/>
      <c r="L46" s="7"/>
      <c r="M46" s="7"/>
      <c r="N46" s="7"/>
      <c r="O46" s="7"/>
      <c r="P46" s="7"/>
      <c r="Q46" s="7"/>
      <c r="R46" s="7"/>
      <c r="S46" s="7"/>
      <c r="T46" s="7"/>
      <c r="U46" s="7"/>
      <c r="V46" s="7"/>
      <c r="W46" s="7"/>
      <c r="X46" s="7"/>
      <c r="Y46" s="7"/>
      <c r="Z46" s="7"/>
    </row>
    <row r="47" ht="33.75" customHeight="1">
      <c r="A47" s="11"/>
      <c r="B47" s="11"/>
      <c r="C47" s="11"/>
      <c r="D47" s="11"/>
      <c r="E47" s="11"/>
      <c r="F47" s="11"/>
      <c r="G47" s="7"/>
      <c r="H47" s="7"/>
      <c r="I47" s="7"/>
      <c r="J47" s="7"/>
      <c r="K47" s="7"/>
      <c r="L47" s="7"/>
      <c r="M47" s="7"/>
      <c r="N47" s="7"/>
      <c r="O47" s="7"/>
      <c r="P47" s="7"/>
      <c r="Q47" s="7"/>
      <c r="R47" s="7"/>
      <c r="S47" s="7"/>
      <c r="T47" s="7"/>
      <c r="U47" s="7"/>
      <c r="V47" s="7"/>
      <c r="W47" s="7"/>
      <c r="X47" s="7"/>
      <c r="Y47" s="7"/>
      <c r="Z47" s="7"/>
    </row>
    <row r="48" ht="33.75" customHeight="1">
      <c r="A48" s="11"/>
      <c r="B48" s="11"/>
      <c r="C48" s="11"/>
      <c r="D48" s="11"/>
      <c r="E48" s="11"/>
      <c r="F48" s="11"/>
      <c r="G48" s="7"/>
      <c r="H48" s="7"/>
      <c r="I48" s="7"/>
      <c r="J48" s="7"/>
      <c r="K48" s="7"/>
      <c r="L48" s="7"/>
      <c r="M48" s="7"/>
      <c r="N48" s="7"/>
      <c r="O48" s="7"/>
      <c r="P48" s="7"/>
      <c r="Q48" s="7"/>
      <c r="R48" s="7"/>
      <c r="S48" s="7"/>
      <c r="T48" s="7"/>
      <c r="U48" s="7"/>
      <c r="V48" s="7"/>
      <c r="W48" s="7"/>
      <c r="X48" s="7"/>
      <c r="Y48" s="7"/>
      <c r="Z48" s="7"/>
    </row>
    <row r="49" ht="33.75" customHeight="1">
      <c r="A49" s="11"/>
      <c r="B49" s="11"/>
      <c r="C49" s="11"/>
      <c r="D49" s="11"/>
      <c r="E49" s="11"/>
      <c r="F49" s="11"/>
      <c r="G49" s="7"/>
      <c r="H49" s="7"/>
      <c r="I49" s="7"/>
      <c r="J49" s="7"/>
      <c r="K49" s="7"/>
      <c r="L49" s="7"/>
      <c r="M49" s="7"/>
      <c r="N49" s="7"/>
      <c r="O49" s="7"/>
      <c r="P49" s="7"/>
      <c r="Q49" s="7"/>
      <c r="R49" s="7"/>
      <c r="S49" s="7"/>
      <c r="T49" s="7"/>
      <c r="U49" s="7"/>
      <c r="V49" s="7"/>
      <c r="W49" s="7"/>
      <c r="X49" s="7"/>
      <c r="Y49" s="7"/>
      <c r="Z49" s="7"/>
    </row>
    <row r="50" ht="33.75" customHeight="1">
      <c r="A50" s="11"/>
      <c r="B50" s="11"/>
      <c r="C50" s="11"/>
      <c r="D50" s="11"/>
      <c r="E50" s="11"/>
      <c r="F50" s="11"/>
      <c r="G50" s="7"/>
      <c r="H50" s="7"/>
      <c r="I50" s="7"/>
      <c r="J50" s="7"/>
      <c r="K50" s="7"/>
      <c r="L50" s="7"/>
      <c r="M50" s="7"/>
      <c r="N50" s="7"/>
      <c r="O50" s="7"/>
      <c r="P50" s="7"/>
      <c r="Q50" s="7"/>
      <c r="R50" s="7"/>
      <c r="S50" s="7"/>
      <c r="T50" s="7"/>
      <c r="U50" s="7"/>
      <c r="V50" s="7"/>
      <c r="W50" s="7"/>
      <c r="X50" s="7"/>
      <c r="Y50" s="7"/>
      <c r="Z50" s="7"/>
    </row>
    <row r="51" ht="33.75" customHeight="1">
      <c r="A51" s="11"/>
      <c r="B51" s="11"/>
      <c r="C51" s="11"/>
      <c r="D51" s="11"/>
      <c r="E51" s="11"/>
      <c r="F51" s="11"/>
      <c r="G51" s="7"/>
      <c r="H51" s="7"/>
      <c r="I51" s="7"/>
      <c r="J51" s="7"/>
      <c r="K51" s="7"/>
      <c r="L51" s="7"/>
      <c r="M51" s="7"/>
      <c r="N51" s="7"/>
      <c r="O51" s="7"/>
      <c r="P51" s="7"/>
      <c r="Q51" s="7"/>
      <c r="R51" s="7"/>
      <c r="S51" s="7"/>
      <c r="T51" s="7"/>
      <c r="U51" s="7"/>
      <c r="V51" s="7"/>
      <c r="W51" s="7"/>
      <c r="X51" s="7"/>
      <c r="Y51" s="7"/>
      <c r="Z51" s="7"/>
    </row>
    <row r="52" ht="33.75" customHeight="1">
      <c r="A52" s="11"/>
      <c r="B52" s="11"/>
      <c r="C52" s="11"/>
      <c r="D52" s="11"/>
      <c r="E52" s="11"/>
      <c r="F52" s="11"/>
      <c r="G52" s="7"/>
      <c r="H52" s="7"/>
      <c r="I52" s="7"/>
      <c r="J52" s="7"/>
      <c r="K52" s="7"/>
      <c r="L52" s="7"/>
      <c r="M52" s="7"/>
      <c r="N52" s="7"/>
      <c r="O52" s="7"/>
      <c r="P52" s="7"/>
      <c r="Q52" s="7"/>
      <c r="R52" s="7"/>
      <c r="S52" s="7"/>
      <c r="T52" s="7"/>
      <c r="U52" s="7"/>
      <c r="V52" s="7"/>
      <c r="W52" s="7"/>
      <c r="X52" s="7"/>
      <c r="Y52" s="7"/>
      <c r="Z52" s="7"/>
    </row>
    <row r="53" ht="33.75" customHeight="1">
      <c r="A53" s="11"/>
      <c r="B53" s="11"/>
      <c r="C53" s="11"/>
      <c r="D53" s="11"/>
      <c r="E53" s="11"/>
      <c r="F53" s="11"/>
      <c r="G53" s="7"/>
      <c r="H53" s="7"/>
      <c r="I53" s="7"/>
      <c r="J53" s="7"/>
      <c r="K53" s="7"/>
      <c r="L53" s="7"/>
      <c r="M53" s="7"/>
      <c r="N53" s="7"/>
      <c r="O53" s="7"/>
      <c r="P53" s="7"/>
      <c r="Q53" s="7"/>
      <c r="R53" s="7"/>
      <c r="S53" s="7"/>
      <c r="T53" s="7"/>
      <c r="U53" s="7"/>
      <c r="V53" s="7"/>
      <c r="W53" s="7"/>
      <c r="X53" s="7"/>
      <c r="Y53" s="7"/>
      <c r="Z53" s="7"/>
    </row>
    <row r="54" ht="33.75" customHeight="1">
      <c r="A54" s="11"/>
      <c r="B54" s="11"/>
      <c r="C54" s="11"/>
      <c r="D54" s="11"/>
      <c r="E54" s="11"/>
      <c r="F54" s="11"/>
      <c r="G54" s="7"/>
      <c r="H54" s="7"/>
      <c r="I54" s="7"/>
      <c r="J54" s="7"/>
      <c r="K54" s="7"/>
      <c r="L54" s="7"/>
      <c r="M54" s="7"/>
      <c r="N54" s="7"/>
      <c r="O54" s="7"/>
      <c r="P54" s="7"/>
      <c r="Q54" s="7"/>
      <c r="R54" s="7"/>
      <c r="S54" s="7"/>
      <c r="T54" s="7"/>
      <c r="U54" s="7"/>
      <c r="V54" s="7"/>
      <c r="W54" s="7"/>
      <c r="X54" s="7"/>
      <c r="Y54" s="7"/>
      <c r="Z54" s="7"/>
    </row>
    <row r="55" ht="33.75" customHeight="1">
      <c r="A55" s="11"/>
      <c r="B55" s="11"/>
      <c r="C55" s="11"/>
      <c r="D55" s="11"/>
      <c r="E55" s="11"/>
      <c r="F55" s="11"/>
      <c r="G55" s="7"/>
      <c r="H55" s="7"/>
      <c r="I55" s="7"/>
      <c r="J55" s="7"/>
      <c r="K55" s="7"/>
      <c r="L55" s="7"/>
      <c r="M55" s="7"/>
      <c r="N55" s="7"/>
      <c r="O55" s="7"/>
      <c r="P55" s="7"/>
      <c r="Q55" s="7"/>
      <c r="R55" s="7"/>
      <c r="S55" s="7"/>
      <c r="T55" s="7"/>
      <c r="U55" s="7"/>
      <c r="V55" s="7"/>
      <c r="W55" s="7"/>
      <c r="X55" s="7"/>
      <c r="Y55" s="7"/>
      <c r="Z55" s="7"/>
    </row>
    <row r="56" ht="33.75" customHeight="1">
      <c r="A56" s="11"/>
      <c r="B56" s="11"/>
      <c r="C56" s="11"/>
      <c r="D56" s="11"/>
      <c r="E56" s="11"/>
      <c r="F56" s="11"/>
      <c r="G56" s="7"/>
      <c r="H56" s="7"/>
      <c r="I56" s="7"/>
      <c r="J56" s="7"/>
      <c r="K56" s="7"/>
      <c r="L56" s="7"/>
      <c r="M56" s="7"/>
      <c r="N56" s="7"/>
      <c r="O56" s="7"/>
      <c r="P56" s="7"/>
      <c r="Q56" s="7"/>
      <c r="R56" s="7"/>
      <c r="S56" s="7"/>
      <c r="T56" s="7"/>
      <c r="U56" s="7"/>
      <c r="V56" s="7"/>
      <c r="W56" s="7"/>
      <c r="X56" s="7"/>
      <c r="Y56" s="7"/>
      <c r="Z56" s="7"/>
    </row>
    <row r="57" ht="33.75" customHeight="1">
      <c r="A57" s="11"/>
      <c r="B57" s="11"/>
      <c r="C57" s="11"/>
      <c r="D57" s="11"/>
      <c r="E57" s="11"/>
      <c r="F57" s="11"/>
      <c r="G57" s="7"/>
      <c r="H57" s="7"/>
      <c r="I57" s="7"/>
      <c r="J57" s="7"/>
      <c r="K57" s="7"/>
      <c r="L57" s="7"/>
      <c r="M57" s="7"/>
      <c r="N57" s="7"/>
      <c r="O57" s="7"/>
      <c r="P57" s="7"/>
      <c r="Q57" s="7"/>
      <c r="R57" s="7"/>
      <c r="S57" s="7"/>
      <c r="T57" s="7"/>
      <c r="U57" s="7"/>
      <c r="V57" s="7"/>
      <c r="W57" s="7"/>
      <c r="X57" s="7"/>
      <c r="Y57" s="7"/>
      <c r="Z57" s="7"/>
    </row>
    <row r="58" ht="33.75" customHeight="1">
      <c r="A58" s="11"/>
      <c r="B58" s="11"/>
      <c r="C58" s="11"/>
      <c r="D58" s="11"/>
      <c r="E58" s="11"/>
      <c r="F58" s="11"/>
      <c r="G58" s="7"/>
      <c r="H58" s="7"/>
      <c r="I58" s="7"/>
      <c r="J58" s="7"/>
      <c r="K58" s="7"/>
      <c r="L58" s="7"/>
      <c r="M58" s="7"/>
      <c r="N58" s="7"/>
      <c r="O58" s="7"/>
      <c r="P58" s="7"/>
      <c r="Q58" s="7"/>
      <c r="R58" s="7"/>
      <c r="S58" s="7"/>
      <c r="T58" s="7"/>
      <c r="U58" s="7"/>
      <c r="V58" s="7"/>
      <c r="W58" s="7"/>
      <c r="X58" s="7"/>
      <c r="Y58" s="7"/>
      <c r="Z58" s="7"/>
    </row>
    <row r="59" ht="33.75" customHeight="1">
      <c r="A59" s="11"/>
      <c r="B59" s="11"/>
      <c r="C59" s="11"/>
      <c r="D59" s="11"/>
      <c r="E59" s="11"/>
      <c r="F59" s="11"/>
      <c r="G59" s="7"/>
      <c r="H59" s="7"/>
      <c r="I59" s="7"/>
      <c r="J59" s="7"/>
      <c r="K59" s="7"/>
      <c r="L59" s="7"/>
      <c r="M59" s="7"/>
      <c r="N59" s="7"/>
      <c r="O59" s="7"/>
      <c r="P59" s="7"/>
      <c r="Q59" s="7"/>
      <c r="R59" s="7"/>
      <c r="S59" s="7"/>
      <c r="T59" s="7"/>
      <c r="U59" s="7"/>
      <c r="V59" s="7"/>
      <c r="W59" s="7"/>
      <c r="X59" s="7"/>
      <c r="Y59" s="7"/>
      <c r="Z59" s="7"/>
    </row>
    <row r="60" ht="33.75" customHeight="1">
      <c r="A60" s="11"/>
      <c r="B60" s="11"/>
      <c r="C60" s="11"/>
      <c r="D60" s="11"/>
      <c r="E60" s="11"/>
      <c r="F60" s="11"/>
      <c r="G60" s="7"/>
      <c r="H60" s="7"/>
      <c r="I60" s="7"/>
      <c r="J60" s="7"/>
      <c r="K60" s="7"/>
      <c r="L60" s="7"/>
      <c r="M60" s="7"/>
      <c r="N60" s="7"/>
      <c r="O60" s="7"/>
      <c r="P60" s="7"/>
      <c r="Q60" s="7"/>
      <c r="R60" s="7"/>
      <c r="S60" s="7"/>
      <c r="T60" s="7"/>
      <c r="U60" s="7"/>
      <c r="V60" s="7"/>
      <c r="W60" s="7"/>
      <c r="X60" s="7"/>
      <c r="Y60" s="7"/>
      <c r="Z60" s="7"/>
    </row>
    <row r="61" ht="33.75" customHeight="1">
      <c r="A61" s="11"/>
      <c r="B61" s="11"/>
      <c r="C61" s="11"/>
      <c r="D61" s="11"/>
      <c r="E61" s="11"/>
      <c r="F61" s="11"/>
      <c r="G61" s="7"/>
      <c r="H61" s="7"/>
      <c r="I61" s="7"/>
      <c r="J61" s="7"/>
      <c r="K61" s="7"/>
      <c r="L61" s="7"/>
      <c r="M61" s="7"/>
      <c r="N61" s="7"/>
      <c r="O61" s="7"/>
      <c r="P61" s="7"/>
      <c r="Q61" s="7"/>
      <c r="R61" s="7"/>
      <c r="S61" s="7"/>
      <c r="T61" s="7"/>
      <c r="U61" s="7"/>
      <c r="V61" s="7"/>
      <c r="W61" s="7"/>
      <c r="X61" s="7"/>
      <c r="Y61" s="7"/>
      <c r="Z61" s="7"/>
    </row>
    <row r="62" ht="33.75" customHeight="1">
      <c r="A62" s="11"/>
      <c r="B62" s="11"/>
      <c r="C62" s="11"/>
      <c r="D62" s="11"/>
      <c r="E62" s="11"/>
      <c r="F62" s="11"/>
      <c r="G62" s="7"/>
      <c r="H62" s="7"/>
      <c r="I62" s="7"/>
      <c r="J62" s="7"/>
      <c r="K62" s="7"/>
      <c r="L62" s="7"/>
      <c r="M62" s="7"/>
      <c r="N62" s="7"/>
      <c r="O62" s="7"/>
      <c r="P62" s="7"/>
      <c r="Q62" s="7"/>
      <c r="R62" s="7"/>
      <c r="S62" s="7"/>
      <c r="T62" s="7"/>
      <c r="U62" s="7"/>
      <c r="V62" s="7"/>
      <c r="W62" s="7"/>
      <c r="X62" s="7"/>
      <c r="Y62" s="7"/>
      <c r="Z62" s="7"/>
    </row>
    <row r="63" ht="33.75" customHeight="1">
      <c r="A63" s="11"/>
      <c r="B63" s="11"/>
      <c r="C63" s="11"/>
      <c r="D63" s="11"/>
      <c r="E63" s="11"/>
      <c r="F63" s="11"/>
      <c r="G63" s="7"/>
      <c r="H63" s="7"/>
      <c r="I63" s="7"/>
      <c r="J63" s="7"/>
      <c r="K63" s="7"/>
      <c r="L63" s="7"/>
      <c r="M63" s="7"/>
      <c r="N63" s="7"/>
      <c r="O63" s="7"/>
      <c r="P63" s="7"/>
      <c r="Q63" s="7"/>
      <c r="R63" s="7"/>
      <c r="S63" s="7"/>
      <c r="T63" s="7"/>
      <c r="U63" s="7"/>
      <c r="V63" s="7"/>
      <c r="W63" s="7"/>
      <c r="X63" s="7"/>
      <c r="Y63" s="7"/>
      <c r="Z63" s="7"/>
    </row>
    <row r="64" ht="33.75" customHeight="1">
      <c r="A64" s="11"/>
      <c r="B64" s="11"/>
      <c r="C64" s="11"/>
      <c r="D64" s="11"/>
      <c r="E64" s="11"/>
      <c r="F64" s="11"/>
      <c r="G64" s="7"/>
      <c r="H64" s="7"/>
      <c r="I64" s="7"/>
      <c r="J64" s="7"/>
      <c r="K64" s="7"/>
      <c r="L64" s="7"/>
      <c r="M64" s="7"/>
      <c r="N64" s="7"/>
      <c r="O64" s="7"/>
      <c r="P64" s="7"/>
      <c r="Q64" s="7"/>
      <c r="R64" s="7"/>
      <c r="S64" s="7"/>
      <c r="T64" s="7"/>
      <c r="U64" s="7"/>
      <c r="V64" s="7"/>
      <c r="W64" s="7"/>
      <c r="X64" s="7"/>
      <c r="Y64" s="7"/>
      <c r="Z64" s="7"/>
    </row>
    <row r="65" ht="33.75" customHeight="1">
      <c r="A65" s="11"/>
      <c r="B65" s="11"/>
      <c r="C65" s="11"/>
      <c r="D65" s="11"/>
      <c r="E65" s="11"/>
      <c r="F65" s="11"/>
      <c r="G65" s="7"/>
      <c r="H65" s="7"/>
      <c r="I65" s="7"/>
      <c r="J65" s="7"/>
      <c r="K65" s="7"/>
      <c r="L65" s="7"/>
      <c r="M65" s="7"/>
      <c r="N65" s="7"/>
      <c r="O65" s="7"/>
      <c r="P65" s="7"/>
      <c r="Q65" s="7"/>
      <c r="R65" s="7"/>
      <c r="S65" s="7"/>
      <c r="T65" s="7"/>
      <c r="U65" s="7"/>
      <c r="V65" s="7"/>
      <c r="W65" s="7"/>
      <c r="X65" s="7"/>
      <c r="Y65" s="7"/>
      <c r="Z65" s="7"/>
    </row>
    <row r="66" ht="33.75" customHeight="1">
      <c r="A66" s="11"/>
      <c r="B66" s="11"/>
      <c r="C66" s="11"/>
      <c r="D66" s="11"/>
      <c r="E66" s="11"/>
      <c r="F66" s="11"/>
      <c r="G66" s="7"/>
      <c r="H66" s="7"/>
      <c r="I66" s="7"/>
      <c r="J66" s="7"/>
      <c r="K66" s="7"/>
      <c r="L66" s="7"/>
      <c r="M66" s="7"/>
      <c r="N66" s="7"/>
      <c r="O66" s="7"/>
      <c r="P66" s="7"/>
      <c r="Q66" s="7"/>
      <c r="R66" s="7"/>
      <c r="S66" s="7"/>
      <c r="T66" s="7"/>
      <c r="U66" s="7"/>
      <c r="V66" s="7"/>
      <c r="W66" s="7"/>
      <c r="X66" s="7"/>
      <c r="Y66" s="7"/>
      <c r="Z66" s="7"/>
    </row>
    <row r="67" ht="33.75" customHeight="1">
      <c r="A67" s="11"/>
      <c r="B67" s="11"/>
      <c r="C67" s="11"/>
      <c r="D67" s="11"/>
      <c r="E67" s="11"/>
      <c r="F67" s="11"/>
      <c r="G67" s="7"/>
      <c r="H67" s="7"/>
      <c r="I67" s="7"/>
      <c r="J67" s="7"/>
      <c r="K67" s="7"/>
      <c r="L67" s="7"/>
      <c r="M67" s="7"/>
      <c r="N67" s="7"/>
      <c r="O67" s="7"/>
      <c r="P67" s="7"/>
      <c r="Q67" s="7"/>
      <c r="R67" s="7"/>
      <c r="S67" s="7"/>
      <c r="T67" s="7"/>
      <c r="U67" s="7"/>
      <c r="V67" s="7"/>
      <c r="W67" s="7"/>
      <c r="X67" s="7"/>
      <c r="Y67" s="7"/>
      <c r="Z67" s="7"/>
    </row>
    <row r="68" ht="33.75" customHeight="1">
      <c r="A68" s="11"/>
      <c r="B68" s="11"/>
      <c r="C68" s="11"/>
      <c r="D68" s="11"/>
      <c r="E68" s="11"/>
      <c r="F68" s="11"/>
      <c r="G68" s="7"/>
      <c r="H68" s="7"/>
      <c r="I68" s="7"/>
      <c r="J68" s="7"/>
      <c r="K68" s="7"/>
      <c r="L68" s="7"/>
      <c r="M68" s="7"/>
      <c r="N68" s="7"/>
      <c r="O68" s="7"/>
      <c r="P68" s="7"/>
      <c r="Q68" s="7"/>
      <c r="R68" s="7"/>
      <c r="S68" s="7"/>
      <c r="T68" s="7"/>
      <c r="U68" s="7"/>
      <c r="V68" s="7"/>
      <c r="W68" s="7"/>
      <c r="X68" s="7"/>
      <c r="Y68" s="7"/>
      <c r="Z68" s="7"/>
    </row>
    <row r="69" ht="33.75" customHeight="1">
      <c r="A69" s="11"/>
      <c r="B69" s="11"/>
      <c r="C69" s="11"/>
      <c r="D69" s="11"/>
      <c r="E69" s="11"/>
      <c r="F69" s="11"/>
      <c r="G69" s="7"/>
      <c r="H69" s="7"/>
      <c r="I69" s="7"/>
      <c r="J69" s="7"/>
      <c r="K69" s="7"/>
      <c r="L69" s="7"/>
      <c r="M69" s="7"/>
      <c r="N69" s="7"/>
      <c r="O69" s="7"/>
      <c r="P69" s="7"/>
      <c r="Q69" s="7"/>
      <c r="R69" s="7"/>
      <c r="S69" s="7"/>
      <c r="T69" s="7"/>
      <c r="U69" s="7"/>
      <c r="V69" s="7"/>
      <c r="W69" s="7"/>
      <c r="X69" s="7"/>
      <c r="Y69" s="7"/>
      <c r="Z69" s="7"/>
    </row>
    <row r="70" ht="33.75" customHeight="1">
      <c r="A70" s="11"/>
      <c r="B70" s="11"/>
      <c r="C70" s="11"/>
      <c r="D70" s="11"/>
      <c r="E70" s="11"/>
      <c r="F70" s="11"/>
      <c r="G70" s="7"/>
      <c r="H70" s="7"/>
      <c r="I70" s="7"/>
      <c r="J70" s="7"/>
      <c r="K70" s="7"/>
      <c r="L70" s="7"/>
      <c r="M70" s="7"/>
      <c r="N70" s="7"/>
      <c r="O70" s="7"/>
      <c r="P70" s="7"/>
      <c r="Q70" s="7"/>
      <c r="R70" s="7"/>
      <c r="S70" s="7"/>
      <c r="T70" s="7"/>
      <c r="U70" s="7"/>
      <c r="V70" s="7"/>
      <c r="W70" s="7"/>
      <c r="X70" s="7"/>
      <c r="Y70" s="7"/>
      <c r="Z70" s="7"/>
    </row>
    <row r="71" ht="33.75" customHeight="1">
      <c r="A71" s="11"/>
      <c r="B71" s="11"/>
      <c r="C71" s="11"/>
      <c r="D71" s="11"/>
      <c r="E71" s="11"/>
      <c r="F71" s="11"/>
      <c r="G71" s="7"/>
      <c r="H71" s="7"/>
      <c r="I71" s="7"/>
      <c r="J71" s="7"/>
      <c r="K71" s="7"/>
      <c r="L71" s="7"/>
      <c r="M71" s="7"/>
      <c r="N71" s="7"/>
      <c r="O71" s="7"/>
      <c r="P71" s="7"/>
      <c r="Q71" s="7"/>
      <c r="R71" s="7"/>
      <c r="S71" s="7"/>
      <c r="T71" s="7"/>
      <c r="U71" s="7"/>
      <c r="V71" s="7"/>
      <c r="W71" s="7"/>
      <c r="X71" s="7"/>
      <c r="Y71" s="7"/>
      <c r="Z71" s="7"/>
    </row>
    <row r="72" ht="33.75" customHeight="1">
      <c r="A72" s="11"/>
      <c r="B72" s="11"/>
      <c r="C72" s="11"/>
      <c r="D72" s="11"/>
      <c r="E72" s="11"/>
      <c r="F72" s="11"/>
      <c r="G72" s="7"/>
      <c r="H72" s="7"/>
      <c r="I72" s="7"/>
      <c r="J72" s="7"/>
      <c r="K72" s="7"/>
      <c r="L72" s="7"/>
      <c r="M72" s="7"/>
      <c r="N72" s="7"/>
      <c r="O72" s="7"/>
      <c r="P72" s="7"/>
      <c r="Q72" s="7"/>
      <c r="R72" s="7"/>
      <c r="S72" s="7"/>
      <c r="T72" s="7"/>
      <c r="U72" s="7"/>
      <c r="V72" s="7"/>
      <c r="W72" s="7"/>
      <c r="X72" s="7"/>
      <c r="Y72" s="7"/>
      <c r="Z72" s="7"/>
    </row>
    <row r="73" ht="33.75" customHeight="1">
      <c r="A73" s="11"/>
      <c r="B73" s="11"/>
      <c r="C73" s="11"/>
      <c r="D73" s="11"/>
      <c r="E73" s="11"/>
      <c r="F73" s="11"/>
      <c r="G73" s="7"/>
      <c r="H73" s="7"/>
      <c r="I73" s="7"/>
      <c r="J73" s="7"/>
      <c r="K73" s="7"/>
      <c r="L73" s="7"/>
      <c r="M73" s="7"/>
      <c r="N73" s="7"/>
      <c r="O73" s="7"/>
      <c r="P73" s="7"/>
      <c r="Q73" s="7"/>
      <c r="R73" s="7"/>
      <c r="S73" s="7"/>
      <c r="T73" s="7"/>
      <c r="U73" s="7"/>
      <c r="V73" s="7"/>
      <c r="W73" s="7"/>
      <c r="X73" s="7"/>
      <c r="Y73" s="7"/>
      <c r="Z73" s="7"/>
    </row>
    <row r="74" ht="33.75" customHeight="1">
      <c r="A74" s="11"/>
      <c r="B74" s="11"/>
      <c r="C74" s="11"/>
      <c r="D74" s="11"/>
      <c r="E74" s="11"/>
      <c r="F74" s="11"/>
      <c r="G74" s="7"/>
      <c r="H74" s="7"/>
      <c r="I74" s="7"/>
      <c r="J74" s="7"/>
      <c r="K74" s="7"/>
      <c r="L74" s="7"/>
      <c r="M74" s="7"/>
      <c r="N74" s="7"/>
      <c r="O74" s="7"/>
      <c r="P74" s="7"/>
      <c r="Q74" s="7"/>
      <c r="R74" s="7"/>
      <c r="S74" s="7"/>
      <c r="T74" s="7"/>
      <c r="U74" s="7"/>
      <c r="V74" s="7"/>
      <c r="W74" s="7"/>
      <c r="X74" s="7"/>
      <c r="Y74" s="7"/>
      <c r="Z74" s="7"/>
    </row>
    <row r="75" ht="33.75" customHeight="1">
      <c r="A75" s="11"/>
      <c r="B75" s="11"/>
      <c r="C75" s="11"/>
      <c r="D75" s="11"/>
      <c r="E75" s="11"/>
      <c r="F75" s="11"/>
      <c r="G75" s="7"/>
      <c r="H75" s="7"/>
      <c r="I75" s="7"/>
      <c r="J75" s="7"/>
      <c r="K75" s="7"/>
      <c r="L75" s="7"/>
      <c r="M75" s="7"/>
      <c r="N75" s="7"/>
      <c r="O75" s="7"/>
      <c r="P75" s="7"/>
      <c r="Q75" s="7"/>
      <c r="R75" s="7"/>
      <c r="S75" s="7"/>
      <c r="T75" s="7"/>
      <c r="U75" s="7"/>
      <c r="V75" s="7"/>
      <c r="W75" s="7"/>
      <c r="X75" s="7"/>
      <c r="Y75" s="7"/>
      <c r="Z75" s="7"/>
    </row>
    <row r="76" ht="33.75" customHeight="1">
      <c r="A76" s="11"/>
      <c r="B76" s="11"/>
      <c r="C76" s="11"/>
      <c r="D76" s="11"/>
      <c r="E76" s="11"/>
      <c r="F76" s="11"/>
      <c r="G76" s="7"/>
      <c r="H76" s="7"/>
      <c r="I76" s="7"/>
      <c r="J76" s="7"/>
      <c r="K76" s="7"/>
      <c r="L76" s="7"/>
      <c r="M76" s="7"/>
      <c r="N76" s="7"/>
      <c r="O76" s="7"/>
      <c r="P76" s="7"/>
      <c r="Q76" s="7"/>
      <c r="R76" s="7"/>
      <c r="S76" s="7"/>
      <c r="T76" s="7"/>
      <c r="U76" s="7"/>
      <c r="V76" s="7"/>
      <c r="W76" s="7"/>
      <c r="X76" s="7"/>
      <c r="Y76" s="7"/>
      <c r="Z76" s="7"/>
    </row>
    <row r="77" ht="33.75" customHeight="1">
      <c r="A77" s="11"/>
      <c r="B77" s="11"/>
      <c r="C77" s="11"/>
      <c r="D77" s="11"/>
      <c r="E77" s="11"/>
      <c r="F77" s="11"/>
      <c r="G77" s="7"/>
      <c r="H77" s="7"/>
      <c r="I77" s="7"/>
      <c r="J77" s="7"/>
      <c r="K77" s="7"/>
      <c r="L77" s="7"/>
      <c r="M77" s="7"/>
      <c r="N77" s="7"/>
      <c r="O77" s="7"/>
      <c r="P77" s="7"/>
      <c r="Q77" s="7"/>
      <c r="R77" s="7"/>
      <c r="S77" s="7"/>
      <c r="T77" s="7"/>
      <c r="U77" s="7"/>
      <c r="V77" s="7"/>
      <c r="W77" s="7"/>
      <c r="X77" s="7"/>
      <c r="Y77" s="7"/>
      <c r="Z77" s="7"/>
    </row>
    <row r="78" ht="33.75" customHeight="1">
      <c r="A78" s="11"/>
      <c r="B78" s="11"/>
      <c r="C78" s="11"/>
      <c r="D78" s="11"/>
      <c r="E78" s="11"/>
      <c r="F78" s="11"/>
      <c r="G78" s="7"/>
      <c r="H78" s="7"/>
      <c r="I78" s="7"/>
      <c r="J78" s="7"/>
      <c r="K78" s="7"/>
      <c r="L78" s="7"/>
      <c r="M78" s="7"/>
      <c r="N78" s="7"/>
      <c r="O78" s="7"/>
      <c r="P78" s="7"/>
      <c r="Q78" s="7"/>
      <c r="R78" s="7"/>
      <c r="S78" s="7"/>
      <c r="T78" s="7"/>
      <c r="U78" s="7"/>
      <c r="V78" s="7"/>
      <c r="W78" s="7"/>
      <c r="X78" s="7"/>
      <c r="Y78" s="7"/>
      <c r="Z78" s="7"/>
    </row>
    <row r="79" ht="33.75" customHeight="1">
      <c r="A79" s="11"/>
      <c r="B79" s="11"/>
      <c r="C79" s="11"/>
      <c r="D79" s="11"/>
      <c r="E79" s="11"/>
      <c r="F79" s="11"/>
      <c r="G79" s="7"/>
      <c r="H79" s="7"/>
      <c r="I79" s="7"/>
      <c r="J79" s="7"/>
      <c r="K79" s="7"/>
      <c r="L79" s="7"/>
      <c r="M79" s="7"/>
      <c r="N79" s="7"/>
      <c r="O79" s="7"/>
      <c r="P79" s="7"/>
      <c r="Q79" s="7"/>
      <c r="R79" s="7"/>
      <c r="S79" s="7"/>
      <c r="T79" s="7"/>
      <c r="U79" s="7"/>
      <c r="V79" s="7"/>
      <c r="W79" s="7"/>
      <c r="X79" s="7"/>
      <c r="Y79" s="7"/>
      <c r="Z79" s="7"/>
    </row>
    <row r="80" ht="33.75" customHeight="1">
      <c r="A80" s="11"/>
      <c r="B80" s="11"/>
      <c r="C80" s="11"/>
      <c r="D80" s="11"/>
      <c r="E80" s="11"/>
      <c r="F80" s="11"/>
      <c r="G80" s="7"/>
      <c r="H80" s="7"/>
      <c r="I80" s="7"/>
      <c r="J80" s="7"/>
      <c r="K80" s="7"/>
      <c r="L80" s="7"/>
      <c r="M80" s="7"/>
      <c r="N80" s="7"/>
      <c r="O80" s="7"/>
      <c r="P80" s="7"/>
      <c r="Q80" s="7"/>
      <c r="R80" s="7"/>
      <c r="S80" s="7"/>
      <c r="T80" s="7"/>
      <c r="U80" s="7"/>
      <c r="V80" s="7"/>
      <c r="W80" s="7"/>
      <c r="X80" s="7"/>
      <c r="Y80" s="7"/>
      <c r="Z80" s="7"/>
    </row>
    <row r="81" ht="33.75" customHeight="1">
      <c r="A81" s="11"/>
      <c r="B81" s="11"/>
      <c r="C81" s="11"/>
      <c r="D81" s="11"/>
      <c r="E81" s="11"/>
      <c r="F81" s="11"/>
      <c r="G81" s="7"/>
      <c r="H81" s="7"/>
      <c r="I81" s="7"/>
      <c r="J81" s="7"/>
      <c r="K81" s="7"/>
      <c r="L81" s="7"/>
      <c r="M81" s="7"/>
      <c r="N81" s="7"/>
      <c r="O81" s="7"/>
      <c r="P81" s="7"/>
      <c r="Q81" s="7"/>
      <c r="R81" s="7"/>
      <c r="S81" s="7"/>
      <c r="T81" s="7"/>
      <c r="U81" s="7"/>
      <c r="V81" s="7"/>
      <c r="W81" s="7"/>
      <c r="X81" s="7"/>
      <c r="Y81" s="7"/>
      <c r="Z81" s="7"/>
    </row>
    <row r="82" ht="33.75" customHeight="1">
      <c r="A82" s="11"/>
      <c r="B82" s="11"/>
      <c r="C82" s="11"/>
      <c r="D82" s="11"/>
      <c r="E82" s="11"/>
      <c r="F82" s="11"/>
      <c r="G82" s="7"/>
      <c r="H82" s="7"/>
      <c r="I82" s="7"/>
      <c r="J82" s="7"/>
      <c r="K82" s="7"/>
      <c r="L82" s="7"/>
      <c r="M82" s="7"/>
      <c r="N82" s="7"/>
      <c r="O82" s="7"/>
      <c r="P82" s="7"/>
      <c r="Q82" s="7"/>
      <c r="R82" s="7"/>
      <c r="S82" s="7"/>
      <c r="T82" s="7"/>
      <c r="U82" s="7"/>
      <c r="V82" s="7"/>
      <c r="W82" s="7"/>
      <c r="X82" s="7"/>
      <c r="Y82" s="7"/>
      <c r="Z82" s="7"/>
    </row>
    <row r="83" ht="33.75" customHeight="1">
      <c r="A83" s="11"/>
      <c r="B83" s="11"/>
      <c r="C83" s="11"/>
      <c r="D83" s="11"/>
      <c r="E83" s="11"/>
      <c r="F83" s="11"/>
      <c r="G83" s="7"/>
      <c r="H83" s="7"/>
      <c r="I83" s="7"/>
      <c r="J83" s="7"/>
      <c r="K83" s="7"/>
      <c r="L83" s="7"/>
      <c r="M83" s="7"/>
      <c r="N83" s="7"/>
      <c r="O83" s="7"/>
      <c r="P83" s="7"/>
      <c r="Q83" s="7"/>
      <c r="R83" s="7"/>
      <c r="S83" s="7"/>
      <c r="T83" s="7"/>
      <c r="U83" s="7"/>
      <c r="V83" s="7"/>
      <c r="W83" s="7"/>
      <c r="X83" s="7"/>
      <c r="Y83" s="7"/>
      <c r="Z83" s="7"/>
    </row>
    <row r="84" ht="33.75" customHeight="1">
      <c r="A84" s="11"/>
      <c r="B84" s="11"/>
      <c r="C84" s="11"/>
      <c r="D84" s="11"/>
      <c r="E84" s="11"/>
      <c r="F84" s="11"/>
      <c r="G84" s="7"/>
      <c r="H84" s="7"/>
      <c r="I84" s="7"/>
      <c r="J84" s="7"/>
      <c r="K84" s="7"/>
      <c r="L84" s="7"/>
      <c r="M84" s="7"/>
      <c r="N84" s="7"/>
      <c r="O84" s="7"/>
      <c r="P84" s="7"/>
      <c r="Q84" s="7"/>
      <c r="R84" s="7"/>
      <c r="S84" s="7"/>
      <c r="T84" s="7"/>
      <c r="U84" s="7"/>
      <c r="V84" s="7"/>
      <c r="W84" s="7"/>
      <c r="X84" s="7"/>
      <c r="Y84" s="7"/>
      <c r="Z84" s="7"/>
    </row>
    <row r="85" ht="33.75" customHeight="1">
      <c r="A85" s="11"/>
      <c r="B85" s="11"/>
      <c r="C85" s="11"/>
      <c r="D85" s="11"/>
      <c r="E85" s="11"/>
      <c r="F85" s="11"/>
      <c r="G85" s="7"/>
      <c r="H85" s="7"/>
      <c r="I85" s="7"/>
      <c r="J85" s="7"/>
      <c r="K85" s="7"/>
      <c r="L85" s="7"/>
      <c r="M85" s="7"/>
      <c r="N85" s="7"/>
      <c r="O85" s="7"/>
      <c r="P85" s="7"/>
      <c r="Q85" s="7"/>
      <c r="R85" s="7"/>
      <c r="S85" s="7"/>
      <c r="T85" s="7"/>
      <c r="U85" s="7"/>
      <c r="V85" s="7"/>
      <c r="W85" s="7"/>
      <c r="X85" s="7"/>
      <c r="Y85" s="7"/>
      <c r="Z85" s="7"/>
    </row>
    <row r="86" ht="33.75" customHeight="1">
      <c r="A86" s="11"/>
      <c r="B86" s="11"/>
      <c r="C86" s="11"/>
      <c r="D86" s="11"/>
      <c r="E86" s="11"/>
      <c r="F86" s="11"/>
      <c r="G86" s="7"/>
      <c r="H86" s="7"/>
      <c r="I86" s="7"/>
      <c r="J86" s="7"/>
      <c r="K86" s="7"/>
      <c r="L86" s="7"/>
      <c r="M86" s="7"/>
      <c r="N86" s="7"/>
      <c r="O86" s="7"/>
      <c r="P86" s="7"/>
      <c r="Q86" s="7"/>
      <c r="R86" s="7"/>
      <c r="S86" s="7"/>
      <c r="T86" s="7"/>
      <c r="U86" s="7"/>
      <c r="V86" s="7"/>
      <c r="W86" s="7"/>
      <c r="X86" s="7"/>
      <c r="Y86" s="7"/>
      <c r="Z86" s="7"/>
    </row>
    <row r="87" ht="33.75" customHeight="1">
      <c r="A87" s="11"/>
      <c r="B87" s="11"/>
      <c r="C87" s="11"/>
      <c r="D87" s="11"/>
      <c r="E87" s="11"/>
      <c r="F87" s="11"/>
      <c r="G87" s="7"/>
      <c r="H87" s="7"/>
      <c r="I87" s="7"/>
      <c r="J87" s="7"/>
      <c r="K87" s="7"/>
      <c r="L87" s="7"/>
      <c r="M87" s="7"/>
      <c r="N87" s="7"/>
      <c r="O87" s="7"/>
      <c r="P87" s="7"/>
      <c r="Q87" s="7"/>
      <c r="R87" s="7"/>
      <c r="S87" s="7"/>
      <c r="T87" s="7"/>
      <c r="U87" s="7"/>
      <c r="V87" s="7"/>
      <c r="W87" s="7"/>
      <c r="X87" s="7"/>
      <c r="Y87" s="7"/>
      <c r="Z87" s="7"/>
    </row>
    <row r="88" ht="33.75" customHeight="1">
      <c r="A88" s="11"/>
      <c r="B88" s="11"/>
      <c r="C88" s="11"/>
      <c r="D88" s="11"/>
      <c r="E88" s="11"/>
      <c r="F88" s="11"/>
      <c r="G88" s="7"/>
      <c r="H88" s="7"/>
      <c r="I88" s="7"/>
      <c r="J88" s="7"/>
      <c r="K88" s="7"/>
      <c r="L88" s="7"/>
      <c r="M88" s="7"/>
      <c r="N88" s="7"/>
      <c r="O88" s="7"/>
      <c r="P88" s="7"/>
      <c r="Q88" s="7"/>
      <c r="R88" s="7"/>
      <c r="S88" s="7"/>
      <c r="T88" s="7"/>
      <c r="U88" s="7"/>
      <c r="V88" s="7"/>
      <c r="W88" s="7"/>
      <c r="X88" s="7"/>
      <c r="Y88" s="7"/>
      <c r="Z88" s="7"/>
    </row>
    <row r="89" ht="33.75" customHeight="1">
      <c r="A89" s="11"/>
      <c r="B89" s="11"/>
      <c r="C89" s="11"/>
      <c r="D89" s="11"/>
      <c r="E89" s="11"/>
      <c r="F89" s="11"/>
      <c r="G89" s="7"/>
      <c r="H89" s="7"/>
      <c r="I89" s="7"/>
      <c r="J89" s="7"/>
      <c r="K89" s="7"/>
      <c r="L89" s="7"/>
      <c r="M89" s="7"/>
      <c r="N89" s="7"/>
      <c r="O89" s="7"/>
      <c r="P89" s="7"/>
      <c r="Q89" s="7"/>
      <c r="R89" s="7"/>
      <c r="S89" s="7"/>
      <c r="T89" s="7"/>
      <c r="U89" s="7"/>
      <c r="V89" s="7"/>
      <c r="W89" s="7"/>
      <c r="X89" s="7"/>
      <c r="Y89" s="7"/>
      <c r="Z89" s="7"/>
    </row>
    <row r="90" ht="33.75" customHeight="1">
      <c r="A90" s="11"/>
      <c r="B90" s="11"/>
      <c r="C90" s="11"/>
      <c r="D90" s="11"/>
      <c r="E90" s="11"/>
      <c r="F90" s="11"/>
      <c r="G90" s="7"/>
      <c r="H90" s="7"/>
      <c r="I90" s="7"/>
      <c r="J90" s="7"/>
      <c r="K90" s="7"/>
      <c r="L90" s="7"/>
      <c r="M90" s="7"/>
      <c r="N90" s="7"/>
      <c r="O90" s="7"/>
      <c r="P90" s="7"/>
      <c r="Q90" s="7"/>
      <c r="R90" s="7"/>
      <c r="S90" s="7"/>
      <c r="T90" s="7"/>
      <c r="U90" s="7"/>
      <c r="V90" s="7"/>
      <c r="W90" s="7"/>
      <c r="X90" s="7"/>
      <c r="Y90" s="7"/>
      <c r="Z90" s="7"/>
    </row>
    <row r="91" ht="33.75" customHeight="1">
      <c r="A91" s="11"/>
      <c r="B91" s="11"/>
      <c r="C91" s="11"/>
      <c r="D91" s="11"/>
      <c r="E91" s="11"/>
      <c r="F91" s="11"/>
      <c r="G91" s="7"/>
      <c r="H91" s="7"/>
      <c r="I91" s="7"/>
      <c r="J91" s="7"/>
      <c r="K91" s="7"/>
      <c r="L91" s="7"/>
      <c r="M91" s="7"/>
      <c r="N91" s="7"/>
      <c r="O91" s="7"/>
      <c r="P91" s="7"/>
      <c r="Q91" s="7"/>
      <c r="R91" s="7"/>
      <c r="S91" s="7"/>
      <c r="T91" s="7"/>
      <c r="U91" s="7"/>
      <c r="V91" s="7"/>
      <c r="W91" s="7"/>
      <c r="X91" s="7"/>
      <c r="Y91" s="7"/>
      <c r="Z91" s="7"/>
    </row>
    <row r="92" ht="33.75" customHeight="1">
      <c r="A92" s="11"/>
      <c r="B92" s="11"/>
      <c r="C92" s="11"/>
      <c r="D92" s="11"/>
      <c r="E92" s="11"/>
      <c r="F92" s="11"/>
      <c r="G92" s="7"/>
      <c r="H92" s="7"/>
      <c r="I92" s="7"/>
      <c r="J92" s="7"/>
      <c r="K92" s="7"/>
      <c r="L92" s="7"/>
      <c r="M92" s="7"/>
      <c r="N92" s="7"/>
      <c r="O92" s="7"/>
      <c r="P92" s="7"/>
      <c r="Q92" s="7"/>
      <c r="R92" s="7"/>
      <c r="S92" s="7"/>
      <c r="T92" s="7"/>
      <c r="U92" s="7"/>
      <c r="V92" s="7"/>
      <c r="W92" s="7"/>
      <c r="X92" s="7"/>
      <c r="Y92" s="7"/>
      <c r="Z92" s="7"/>
    </row>
    <row r="93" ht="33.75" customHeight="1">
      <c r="A93" s="11"/>
      <c r="B93" s="11"/>
      <c r="C93" s="11"/>
      <c r="D93" s="11"/>
      <c r="E93" s="11"/>
      <c r="F93" s="11"/>
      <c r="G93" s="7"/>
      <c r="H93" s="7"/>
      <c r="I93" s="7"/>
      <c r="J93" s="7"/>
      <c r="K93" s="7"/>
      <c r="L93" s="7"/>
      <c r="M93" s="7"/>
      <c r="N93" s="7"/>
      <c r="O93" s="7"/>
      <c r="P93" s="7"/>
      <c r="Q93" s="7"/>
      <c r="R93" s="7"/>
      <c r="S93" s="7"/>
      <c r="T93" s="7"/>
      <c r="U93" s="7"/>
      <c r="V93" s="7"/>
      <c r="W93" s="7"/>
      <c r="X93" s="7"/>
      <c r="Y93" s="7"/>
      <c r="Z93" s="7"/>
    </row>
    <row r="94" ht="33.75" customHeight="1">
      <c r="A94" s="11"/>
      <c r="B94" s="11"/>
      <c r="C94" s="11"/>
      <c r="D94" s="11"/>
      <c r="E94" s="11"/>
      <c r="F94" s="11"/>
      <c r="G94" s="7"/>
      <c r="H94" s="7"/>
      <c r="I94" s="7"/>
      <c r="J94" s="7"/>
      <c r="K94" s="7"/>
      <c r="L94" s="7"/>
      <c r="M94" s="7"/>
      <c r="N94" s="7"/>
      <c r="O94" s="7"/>
      <c r="P94" s="7"/>
      <c r="Q94" s="7"/>
      <c r="R94" s="7"/>
      <c r="S94" s="7"/>
      <c r="T94" s="7"/>
      <c r="U94" s="7"/>
      <c r="V94" s="7"/>
      <c r="W94" s="7"/>
      <c r="X94" s="7"/>
      <c r="Y94" s="7"/>
      <c r="Z94" s="7"/>
    </row>
    <row r="95" ht="33.75" customHeight="1">
      <c r="A95" s="11"/>
      <c r="B95" s="11"/>
      <c r="C95" s="11"/>
      <c r="D95" s="11"/>
      <c r="E95" s="11"/>
      <c r="F95" s="11"/>
      <c r="G95" s="7"/>
      <c r="H95" s="7"/>
      <c r="I95" s="7"/>
      <c r="J95" s="7"/>
      <c r="K95" s="7"/>
      <c r="L95" s="7"/>
      <c r="M95" s="7"/>
      <c r="N95" s="7"/>
      <c r="O95" s="7"/>
      <c r="P95" s="7"/>
      <c r="Q95" s="7"/>
      <c r="R95" s="7"/>
      <c r="S95" s="7"/>
      <c r="T95" s="7"/>
      <c r="U95" s="7"/>
      <c r="V95" s="7"/>
      <c r="W95" s="7"/>
      <c r="X95" s="7"/>
      <c r="Y95" s="7"/>
      <c r="Z95" s="7"/>
    </row>
    <row r="96" ht="33.75" customHeight="1">
      <c r="A96" s="11"/>
      <c r="B96" s="11"/>
      <c r="C96" s="11"/>
      <c r="D96" s="11"/>
      <c r="E96" s="11"/>
      <c r="F96" s="11"/>
      <c r="G96" s="7"/>
      <c r="H96" s="7"/>
      <c r="I96" s="7"/>
      <c r="J96" s="7"/>
      <c r="K96" s="7"/>
      <c r="L96" s="7"/>
      <c r="M96" s="7"/>
      <c r="N96" s="7"/>
      <c r="O96" s="7"/>
      <c r="P96" s="7"/>
      <c r="Q96" s="7"/>
      <c r="R96" s="7"/>
      <c r="S96" s="7"/>
      <c r="T96" s="7"/>
      <c r="U96" s="7"/>
      <c r="V96" s="7"/>
      <c r="W96" s="7"/>
      <c r="X96" s="7"/>
      <c r="Y96" s="7"/>
      <c r="Z96" s="7"/>
    </row>
    <row r="97" ht="33.75" customHeight="1">
      <c r="A97" s="11"/>
      <c r="B97" s="11"/>
      <c r="C97" s="11"/>
      <c r="D97" s="11"/>
      <c r="E97" s="11"/>
      <c r="F97" s="11"/>
      <c r="G97" s="7"/>
      <c r="H97" s="7"/>
      <c r="I97" s="7"/>
      <c r="J97" s="7"/>
      <c r="K97" s="7"/>
      <c r="L97" s="7"/>
      <c r="M97" s="7"/>
      <c r="N97" s="7"/>
      <c r="O97" s="7"/>
      <c r="P97" s="7"/>
      <c r="Q97" s="7"/>
      <c r="R97" s="7"/>
      <c r="S97" s="7"/>
      <c r="T97" s="7"/>
      <c r="U97" s="7"/>
      <c r="V97" s="7"/>
      <c r="W97" s="7"/>
      <c r="X97" s="7"/>
      <c r="Y97" s="7"/>
      <c r="Z97" s="7"/>
    </row>
    <row r="98" ht="33.75" customHeight="1">
      <c r="A98" s="11"/>
      <c r="B98" s="11"/>
      <c r="C98" s="11"/>
      <c r="D98" s="11"/>
      <c r="E98" s="11"/>
      <c r="F98" s="11"/>
      <c r="G98" s="7"/>
      <c r="H98" s="7"/>
      <c r="I98" s="7"/>
      <c r="J98" s="7"/>
      <c r="K98" s="7"/>
      <c r="L98" s="7"/>
      <c r="M98" s="7"/>
      <c r="N98" s="7"/>
      <c r="O98" s="7"/>
      <c r="P98" s="7"/>
      <c r="Q98" s="7"/>
      <c r="R98" s="7"/>
      <c r="S98" s="7"/>
      <c r="T98" s="7"/>
      <c r="U98" s="7"/>
      <c r="V98" s="7"/>
      <c r="W98" s="7"/>
      <c r="X98" s="7"/>
      <c r="Y98" s="7"/>
      <c r="Z98" s="7"/>
    </row>
    <row r="99" ht="33.75" customHeight="1">
      <c r="A99" s="11"/>
      <c r="B99" s="11"/>
      <c r="C99" s="11"/>
      <c r="D99" s="11"/>
      <c r="E99" s="11"/>
      <c r="F99" s="11"/>
      <c r="G99" s="7"/>
      <c r="H99" s="7"/>
      <c r="I99" s="7"/>
      <c r="J99" s="7"/>
      <c r="K99" s="7"/>
      <c r="L99" s="7"/>
      <c r="M99" s="7"/>
      <c r="N99" s="7"/>
      <c r="O99" s="7"/>
      <c r="P99" s="7"/>
      <c r="Q99" s="7"/>
      <c r="R99" s="7"/>
      <c r="S99" s="7"/>
      <c r="T99" s="7"/>
      <c r="U99" s="7"/>
      <c r="V99" s="7"/>
      <c r="W99" s="7"/>
      <c r="X99" s="7"/>
      <c r="Y99" s="7"/>
      <c r="Z99" s="7"/>
    </row>
    <row r="100" ht="33.75" customHeight="1">
      <c r="A100" s="11"/>
      <c r="B100" s="11"/>
      <c r="C100" s="11"/>
      <c r="D100" s="11"/>
      <c r="E100" s="11"/>
      <c r="F100" s="11"/>
      <c r="G100" s="7"/>
      <c r="H100" s="7"/>
      <c r="I100" s="7"/>
      <c r="J100" s="7"/>
      <c r="K100" s="7"/>
      <c r="L100" s="7"/>
      <c r="M100" s="7"/>
      <c r="N100" s="7"/>
      <c r="O100" s="7"/>
      <c r="P100" s="7"/>
      <c r="Q100" s="7"/>
      <c r="R100" s="7"/>
      <c r="S100" s="7"/>
      <c r="T100" s="7"/>
      <c r="U100" s="7"/>
      <c r="V100" s="7"/>
      <c r="W100" s="7"/>
      <c r="X100" s="7"/>
      <c r="Y100" s="7"/>
      <c r="Z100" s="7"/>
    </row>
    <row r="101" ht="33.75" customHeight="1">
      <c r="A101" s="11"/>
      <c r="B101" s="11"/>
      <c r="C101" s="11"/>
      <c r="D101" s="11"/>
      <c r="E101" s="11"/>
      <c r="F101" s="11"/>
      <c r="G101" s="7"/>
      <c r="H101" s="7"/>
      <c r="I101" s="7"/>
      <c r="J101" s="7"/>
      <c r="K101" s="7"/>
      <c r="L101" s="7"/>
      <c r="M101" s="7"/>
      <c r="N101" s="7"/>
      <c r="O101" s="7"/>
      <c r="P101" s="7"/>
      <c r="Q101" s="7"/>
      <c r="R101" s="7"/>
      <c r="S101" s="7"/>
      <c r="T101" s="7"/>
      <c r="U101" s="7"/>
      <c r="V101" s="7"/>
      <c r="W101" s="7"/>
      <c r="X101" s="7"/>
      <c r="Y101" s="7"/>
      <c r="Z101" s="7"/>
    </row>
    <row r="102" ht="33.75" customHeight="1">
      <c r="A102" s="11"/>
      <c r="B102" s="11"/>
      <c r="C102" s="11"/>
      <c r="D102" s="11"/>
      <c r="E102" s="11"/>
      <c r="F102" s="11"/>
      <c r="G102" s="7"/>
      <c r="H102" s="7"/>
      <c r="I102" s="7"/>
      <c r="J102" s="7"/>
      <c r="K102" s="7"/>
      <c r="L102" s="7"/>
      <c r="M102" s="7"/>
      <c r="N102" s="7"/>
      <c r="O102" s="7"/>
      <c r="P102" s="7"/>
      <c r="Q102" s="7"/>
      <c r="R102" s="7"/>
      <c r="S102" s="7"/>
      <c r="T102" s="7"/>
      <c r="U102" s="7"/>
      <c r="V102" s="7"/>
      <c r="W102" s="7"/>
      <c r="X102" s="7"/>
      <c r="Y102" s="7"/>
      <c r="Z102" s="7"/>
    </row>
    <row r="103" ht="33.75" customHeight="1">
      <c r="A103" s="11"/>
      <c r="B103" s="11"/>
      <c r="C103" s="11"/>
      <c r="D103" s="11"/>
      <c r="E103" s="11"/>
      <c r="F103" s="11"/>
      <c r="G103" s="7"/>
      <c r="H103" s="7"/>
      <c r="I103" s="7"/>
      <c r="J103" s="7"/>
      <c r="K103" s="7"/>
      <c r="L103" s="7"/>
      <c r="M103" s="7"/>
      <c r="N103" s="7"/>
      <c r="O103" s="7"/>
      <c r="P103" s="7"/>
      <c r="Q103" s="7"/>
      <c r="R103" s="7"/>
      <c r="S103" s="7"/>
      <c r="T103" s="7"/>
      <c r="U103" s="7"/>
      <c r="V103" s="7"/>
      <c r="W103" s="7"/>
      <c r="X103" s="7"/>
      <c r="Y103" s="7"/>
      <c r="Z103" s="7"/>
    </row>
    <row r="104" ht="33.75" customHeight="1">
      <c r="A104" s="11"/>
      <c r="B104" s="11"/>
      <c r="C104" s="11"/>
      <c r="D104" s="11"/>
      <c r="E104" s="11"/>
      <c r="F104" s="11"/>
      <c r="G104" s="7"/>
      <c r="H104" s="7"/>
      <c r="I104" s="7"/>
      <c r="J104" s="7"/>
      <c r="K104" s="7"/>
      <c r="L104" s="7"/>
      <c r="M104" s="7"/>
      <c r="N104" s="7"/>
      <c r="O104" s="7"/>
      <c r="P104" s="7"/>
      <c r="Q104" s="7"/>
      <c r="R104" s="7"/>
      <c r="S104" s="7"/>
      <c r="T104" s="7"/>
      <c r="U104" s="7"/>
      <c r="V104" s="7"/>
      <c r="W104" s="7"/>
      <c r="X104" s="7"/>
      <c r="Y104" s="7"/>
      <c r="Z104" s="7"/>
    </row>
    <row r="105" ht="33.75" customHeight="1">
      <c r="A105" s="11"/>
      <c r="B105" s="11"/>
      <c r="C105" s="11"/>
      <c r="D105" s="11"/>
      <c r="E105" s="11"/>
      <c r="F105" s="11"/>
      <c r="G105" s="7"/>
      <c r="H105" s="7"/>
      <c r="I105" s="7"/>
      <c r="J105" s="7"/>
      <c r="K105" s="7"/>
      <c r="L105" s="7"/>
      <c r="M105" s="7"/>
      <c r="N105" s="7"/>
      <c r="O105" s="7"/>
      <c r="P105" s="7"/>
      <c r="Q105" s="7"/>
      <c r="R105" s="7"/>
      <c r="S105" s="7"/>
      <c r="T105" s="7"/>
      <c r="U105" s="7"/>
      <c r="V105" s="7"/>
      <c r="W105" s="7"/>
      <c r="X105" s="7"/>
      <c r="Y105" s="7"/>
      <c r="Z105" s="7"/>
    </row>
    <row r="106" ht="33.75" customHeight="1">
      <c r="A106" s="11"/>
      <c r="B106" s="11"/>
      <c r="C106" s="11"/>
      <c r="D106" s="11"/>
      <c r="E106" s="11"/>
      <c r="F106" s="11"/>
      <c r="G106" s="7"/>
      <c r="H106" s="7"/>
      <c r="I106" s="7"/>
      <c r="J106" s="7"/>
      <c r="K106" s="7"/>
      <c r="L106" s="7"/>
      <c r="M106" s="7"/>
      <c r="N106" s="7"/>
      <c r="O106" s="7"/>
      <c r="P106" s="7"/>
      <c r="Q106" s="7"/>
      <c r="R106" s="7"/>
      <c r="S106" s="7"/>
      <c r="T106" s="7"/>
      <c r="U106" s="7"/>
      <c r="V106" s="7"/>
      <c r="W106" s="7"/>
      <c r="X106" s="7"/>
      <c r="Y106" s="7"/>
      <c r="Z106" s="7"/>
    </row>
    <row r="107" ht="33.75" customHeight="1">
      <c r="A107" s="11"/>
      <c r="B107" s="11"/>
      <c r="C107" s="11"/>
      <c r="D107" s="11"/>
      <c r="E107" s="11"/>
      <c r="F107" s="11"/>
      <c r="G107" s="7"/>
      <c r="H107" s="7"/>
      <c r="I107" s="7"/>
      <c r="J107" s="7"/>
      <c r="K107" s="7"/>
      <c r="L107" s="7"/>
      <c r="M107" s="7"/>
      <c r="N107" s="7"/>
      <c r="O107" s="7"/>
      <c r="P107" s="7"/>
      <c r="Q107" s="7"/>
      <c r="R107" s="7"/>
      <c r="S107" s="7"/>
      <c r="T107" s="7"/>
      <c r="U107" s="7"/>
      <c r="V107" s="7"/>
      <c r="W107" s="7"/>
      <c r="X107" s="7"/>
      <c r="Y107" s="7"/>
      <c r="Z107" s="7"/>
    </row>
    <row r="108" ht="33.75" customHeight="1">
      <c r="A108" s="11"/>
      <c r="B108" s="11"/>
      <c r="C108" s="11"/>
      <c r="D108" s="11"/>
      <c r="E108" s="11"/>
      <c r="F108" s="11"/>
      <c r="G108" s="7"/>
      <c r="H108" s="7"/>
      <c r="I108" s="7"/>
      <c r="J108" s="7"/>
      <c r="K108" s="7"/>
      <c r="L108" s="7"/>
      <c r="M108" s="7"/>
      <c r="N108" s="7"/>
      <c r="O108" s="7"/>
      <c r="P108" s="7"/>
      <c r="Q108" s="7"/>
      <c r="R108" s="7"/>
      <c r="S108" s="7"/>
      <c r="T108" s="7"/>
      <c r="U108" s="7"/>
      <c r="V108" s="7"/>
      <c r="W108" s="7"/>
      <c r="X108" s="7"/>
      <c r="Y108" s="7"/>
      <c r="Z108" s="7"/>
    </row>
    <row r="109" ht="33.75" customHeight="1">
      <c r="A109" s="11"/>
      <c r="B109" s="11"/>
      <c r="C109" s="11"/>
      <c r="D109" s="11"/>
      <c r="E109" s="11"/>
      <c r="F109" s="11"/>
      <c r="G109" s="7"/>
      <c r="H109" s="7"/>
      <c r="I109" s="7"/>
      <c r="J109" s="7"/>
      <c r="K109" s="7"/>
      <c r="L109" s="7"/>
      <c r="M109" s="7"/>
      <c r="N109" s="7"/>
      <c r="O109" s="7"/>
      <c r="P109" s="7"/>
      <c r="Q109" s="7"/>
      <c r="R109" s="7"/>
      <c r="S109" s="7"/>
      <c r="T109" s="7"/>
      <c r="U109" s="7"/>
      <c r="V109" s="7"/>
      <c r="W109" s="7"/>
      <c r="X109" s="7"/>
      <c r="Y109" s="7"/>
      <c r="Z109" s="7"/>
    </row>
    <row r="110" ht="33.75" customHeight="1">
      <c r="A110" s="11"/>
      <c r="B110" s="11"/>
      <c r="C110" s="11"/>
      <c r="D110" s="11"/>
      <c r="E110" s="11"/>
      <c r="F110" s="11"/>
      <c r="G110" s="7"/>
      <c r="H110" s="7"/>
      <c r="I110" s="7"/>
      <c r="J110" s="7"/>
      <c r="K110" s="7"/>
      <c r="L110" s="7"/>
      <c r="M110" s="7"/>
      <c r="N110" s="7"/>
      <c r="O110" s="7"/>
      <c r="P110" s="7"/>
      <c r="Q110" s="7"/>
      <c r="R110" s="7"/>
      <c r="S110" s="7"/>
      <c r="T110" s="7"/>
      <c r="U110" s="7"/>
      <c r="V110" s="7"/>
      <c r="W110" s="7"/>
      <c r="X110" s="7"/>
      <c r="Y110" s="7"/>
      <c r="Z110" s="7"/>
    </row>
    <row r="111" ht="33.75" customHeight="1">
      <c r="A111" s="11"/>
      <c r="B111" s="11"/>
      <c r="C111" s="11"/>
      <c r="D111" s="11"/>
      <c r="E111" s="11"/>
      <c r="F111" s="11"/>
      <c r="G111" s="7"/>
      <c r="H111" s="7"/>
      <c r="I111" s="7"/>
      <c r="J111" s="7"/>
      <c r="K111" s="7"/>
      <c r="L111" s="7"/>
      <c r="M111" s="7"/>
      <c r="N111" s="7"/>
      <c r="O111" s="7"/>
      <c r="P111" s="7"/>
      <c r="Q111" s="7"/>
      <c r="R111" s="7"/>
      <c r="S111" s="7"/>
      <c r="T111" s="7"/>
      <c r="U111" s="7"/>
      <c r="V111" s="7"/>
      <c r="W111" s="7"/>
      <c r="X111" s="7"/>
      <c r="Y111" s="7"/>
      <c r="Z111" s="7"/>
    </row>
    <row r="112" ht="33.75" customHeight="1">
      <c r="A112" s="11"/>
      <c r="B112" s="11"/>
      <c r="C112" s="11"/>
      <c r="D112" s="11"/>
      <c r="E112" s="11"/>
      <c r="F112" s="11"/>
      <c r="G112" s="7"/>
      <c r="H112" s="7"/>
      <c r="I112" s="7"/>
      <c r="J112" s="7"/>
      <c r="K112" s="7"/>
      <c r="L112" s="7"/>
      <c r="M112" s="7"/>
      <c r="N112" s="7"/>
      <c r="O112" s="7"/>
      <c r="P112" s="7"/>
      <c r="Q112" s="7"/>
      <c r="R112" s="7"/>
      <c r="S112" s="7"/>
      <c r="T112" s="7"/>
      <c r="U112" s="7"/>
      <c r="V112" s="7"/>
      <c r="W112" s="7"/>
      <c r="X112" s="7"/>
      <c r="Y112" s="7"/>
      <c r="Z112" s="7"/>
    </row>
    <row r="113" ht="33.75" customHeight="1">
      <c r="A113" s="11"/>
      <c r="B113" s="11"/>
      <c r="C113" s="11"/>
      <c r="D113" s="11"/>
      <c r="E113" s="11"/>
      <c r="F113" s="11"/>
      <c r="G113" s="7"/>
      <c r="H113" s="7"/>
      <c r="I113" s="7"/>
      <c r="J113" s="7"/>
      <c r="K113" s="7"/>
      <c r="L113" s="7"/>
      <c r="M113" s="7"/>
      <c r="N113" s="7"/>
      <c r="O113" s="7"/>
      <c r="P113" s="7"/>
      <c r="Q113" s="7"/>
      <c r="R113" s="7"/>
      <c r="S113" s="7"/>
      <c r="T113" s="7"/>
      <c r="U113" s="7"/>
      <c r="V113" s="7"/>
      <c r="W113" s="7"/>
      <c r="X113" s="7"/>
      <c r="Y113" s="7"/>
      <c r="Z113" s="7"/>
    </row>
    <row r="114" ht="33.75" customHeight="1">
      <c r="A114" s="11"/>
      <c r="B114" s="11"/>
      <c r="C114" s="11"/>
      <c r="D114" s="11"/>
      <c r="E114" s="11"/>
      <c r="F114" s="11"/>
      <c r="G114" s="7"/>
      <c r="H114" s="7"/>
      <c r="I114" s="7"/>
      <c r="J114" s="7"/>
      <c r="K114" s="7"/>
      <c r="L114" s="7"/>
      <c r="M114" s="7"/>
      <c r="N114" s="7"/>
      <c r="O114" s="7"/>
      <c r="P114" s="7"/>
      <c r="Q114" s="7"/>
      <c r="R114" s="7"/>
      <c r="S114" s="7"/>
      <c r="T114" s="7"/>
      <c r="U114" s="7"/>
      <c r="V114" s="7"/>
      <c r="W114" s="7"/>
      <c r="X114" s="7"/>
      <c r="Y114" s="7"/>
      <c r="Z114" s="7"/>
    </row>
    <row r="115" ht="33.75" customHeight="1">
      <c r="A115" s="11"/>
      <c r="B115" s="11"/>
      <c r="C115" s="11"/>
      <c r="D115" s="11"/>
      <c r="E115" s="11"/>
      <c r="F115" s="11"/>
      <c r="G115" s="7"/>
      <c r="H115" s="7"/>
      <c r="I115" s="7"/>
      <c r="J115" s="7"/>
      <c r="K115" s="7"/>
      <c r="L115" s="7"/>
      <c r="M115" s="7"/>
      <c r="N115" s="7"/>
      <c r="O115" s="7"/>
      <c r="P115" s="7"/>
      <c r="Q115" s="7"/>
      <c r="R115" s="7"/>
      <c r="S115" s="7"/>
      <c r="T115" s="7"/>
      <c r="U115" s="7"/>
      <c r="V115" s="7"/>
      <c r="W115" s="7"/>
      <c r="X115" s="7"/>
      <c r="Y115" s="7"/>
      <c r="Z115" s="7"/>
    </row>
    <row r="116" ht="33.75" customHeight="1">
      <c r="A116" s="11"/>
      <c r="B116" s="11"/>
      <c r="C116" s="11"/>
      <c r="D116" s="11"/>
      <c r="E116" s="11"/>
      <c r="F116" s="11"/>
      <c r="G116" s="7"/>
      <c r="H116" s="7"/>
      <c r="I116" s="7"/>
      <c r="J116" s="7"/>
      <c r="K116" s="7"/>
      <c r="L116" s="7"/>
      <c r="M116" s="7"/>
      <c r="N116" s="7"/>
      <c r="O116" s="7"/>
      <c r="P116" s="7"/>
      <c r="Q116" s="7"/>
      <c r="R116" s="7"/>
      <c r="S116" s="7"/>
      <c r="T116" s="7"/>
      <c r="U116" s="7"/>
      <c r="V116" s="7"/>
      <c r="W116" s="7"/>
      <c r="X116" s="7"/>
      <c r="Y116" s="7"/>
      <c r="Z116" s="7"/>
    </row>
    <row r="117" ht="33.75" customHeight="1">
      <c r="A117" s="11"/>
      <c r="B117" s="11"/>
      <c r="C117" s="11"/>
      <c r="D117" s="11"/>
      <c r="E117" s="11"/>
      <c r="F117" s="11"/>
      <c r="G117" s="7"/>
      <c r="H117" s="7"/>
      <c r="I117" s="7"/>
      <c r="J117" s="7"/>
      <c r="K117" s="7"/>
      <c r="L117" s="7"/>
      <c r="M117" s="7"/>
      <c r="N117" s="7"/>
      <c r="O117" s="7"/>
      <c r="P117" s="7"/>
      <c r="Q117" s="7"/>
      <c r="R117" s="7"/>
      <c r="S117" s="7"/>
      <c r="T117" s="7"/>
      <c r="U117" s="7"/>
      <c r="V117" s="7"/>
      <c r="W117" s="7"/>
      <c r="X117" s="7"/>
      <c r="Y117" s="7"/>
      <c r="Z117" s="7"/>
    </row>
    <row r="118" ht="33.75" customHeight="1">
      <c r="A118" s="11"/>
      <c r="B118" s="11"/>
      <c r="C118" s="11"/>
      <c r="D118" s="11"/>
      <c r="E118" s="11"/>
      <c r="F118" s="11"/>
      <c r="G118" s="7"/>
      <c r="H118" s="7"/>
      <c r="I118" s="7"/>
      <c r="J118" s="7"/>
      <c r="K118" s="7"/>
      <c r="L118" s="7"/>
      <c r="M118" s="7"/>
      <c r="N118" s="7"/>
      <c r="O118" s="7"/>
      <c r="P118" s="7"/>
      <c r="Q118" s="7"/>
      <c r="R118" s="7"/>
      <c r="S118" s="7"/>
      <c r="T118" s="7"/>
      <c r="U118" s="7"/>
      <c r="V118" s="7"/>
      <c r="W118" s="7"/>
      <c r="X118" s="7"/>
      <c r="Y118" s="7"/>
      <c r="Z118" s="7"/>
    </row>
    <row r="119" ht="33.75" customHeight="1">
      <c r="A119" s="11"/>
      <c r="B119" s="11"/>
      <c r="C119" s="11"/>
      <c r="D119" s="11"/>
      <c r="E119" s="11"/>
      <c r="F119" s="11"/>
      <c r="G119" s="7"/>
      <c r="H119" s="7"/>
      <c r="I119" s="7"/>
      <c r="J119" s="7"/>
      <c r="K119" s="7"/>
      <c r="L119" s="7"/>
      <c r="M119" s="7"/>
      <c r="N119" s="7"/>
      <c r="O119" s="7"/>
      <c r="P119" s="7"/>
      <c r="Q119" s="7"/>
      <c r="R119" s="7"/>
      <c r="S119" s="7"/>
      <c r="T119" s="7"/>
      <c r="U119" s="7"/>
      <c r="V119" s="7"/>
      <c r="W119" s="7"/>
      <c r="X119" s="7"/>
      <c r="Y119" s="7"/>
      <c r="Z119" s="7"/>
    </row>
    <row r="120" ht="33.75" customHeight="1">
      <c r="A120" s="11"/>
      <c r="B120" s="11"/>
      <c r="C120" s="11"/>
      <c r="D120" s="11"/>
      <c r="E120" s="11"/>
      <c r="F120" s="11"/>
      <c r="G120" s="7"/>
      <c r="H120" s="7"/>
      <c r="I120" s="7"/>
      <c r="J120" s="7"/>
      <c r="K120" s="7"/>
      <c r="L120" s="7"/>
      <c r="M120" s="7"/>
      <c r="N120" s="7"/>
      <c r="O120" s="7"/>
      <c r="P120" s="7"/>
      <c r="Q120" s="7"/>
      <c r="R120" s="7"/>
      <c r="S120" s="7"/>
      <c r="T120" s="7"/>
      <c r="U120" s="7"/>
      <c r="V120" s="7"/>
      <c r="W120" s="7"/>
      <c r="X120" s="7"/>
      <c r="Y120" s="7"/>
      <c r="Z120" s="7"/>
    </row>
    <row r="121" ht="33.75" customHeight="1">
      <c r="A121" s="11"/>
      <c r="B121" s="11"/>
      <c r="C121" s="11"/>
      <c r="D121" s="11"/>
      <c r="E121" s="11"/>
      <c r="F121" s="11"/>
      <c r="G121" s="7"/>
      <c r="H121" s="7"/>
      <c r="I121" s="7"/>
      <c r="J121" s="7"/>
      <c r="K121" s="7"/>
      <c r="L121" s="7"/>
      <c r="M121" s="7"/>
      <c r="N121" s="7"/>
      <c r="O121" s="7"/>
      <c r="P121" s="7"/>
      <c r="Q121" s="7"/>
      <c r="R121" s="7"/>
      <c r="S121" s="7"/>
      <c r="T121" s="7"/>
      <c r="U121" s="7"/>
      <c r="V121" s="7"/>
      <c r="W121" s="7"/>
      <c r="X121" s="7"/>
      <c r="Y121" s="7"/>
      <c r="Z121" s="7"/>
    </row>
    <row r="122" ht="33.75" customHeight="1">
      <c r="A122" s="11"/>
      <c r="B122" s="11"/>
      <c r="C122" s="11"/>
      <c r="D122" s="11"/>
      <c r="E122" s="11"/>
      <c r="F122" s="11"/>
      <c r="G122" s="7"/>
      <c r="H122" s="7"/>
      <c r="I122" s="7"/>
      <c r="J122" s="7"/>
      <c r="K122" s="7"/>
      <c r="L122" s="7"/>
      <c r="M122" s="7"/>
      <c r="N122" s="7"/>
      <c r="O122" s="7"/>
      <c r="P122" s="7"/>
      <c r="Q122" s="7"/>
      <c r="R122" s="7"/>
      <c r="S122" s="7"/>
      <c r="T122" s="7"/>
      <c r="U122" s="7"/>
      <c r="V122" s="7"/>
      <c r="W122" s="7"/>
      <c r="X122" s="7"/>
      <c r="Y122" s="7"/>
      <c r="Z122" s="7"/>
    </row>
    <row r="123" ht="33.75" customHeight="1">
      <c r="A123" s="11"/>
      <c r="B123" s="11"/>
      <c r="C123" s="11"/>
      <c r="D123" s="11"/>
      <c r="E123" s="11"/>
      <c r="F123" s="11"/>
      <c r="G123" s="7"/>
      <c r="H123" s="7"/>
      <c r="I123" s="7"/>
      <c r="J123" s="7"/>
      <c r="K123" s="7"/>
      <c r="L123" s="7"/>
      <c r="M123" s="7"/>
      <c r="N123" s="7"/>
      <c r="O123" s="7"/>
      <c r="P123" s="7"/>
      <c r="Q123" s="7"/>
      <c r="R123" s="7"/>
      <c r="S123" s="7"/>
      <c r="T123" s="7"/>
      <c r="U123" s="7"/>
      <c r="V123" s="7"/>
      <c r="W123" s="7"/>
      <c r="X123" s="7"/>
      <c r="Y123" s="7"/>
      <c r="Z123" s="7"/>
    </row>
    <row r="124" ht="33.75" customHeight="1">
      <c r="A124" s="11"/>
      <c r="B124" s="11"/>
      <c r="C124" s="11"/>
      <c r="D124" s="11"/>
      <c r="E124" s="11"/>
      <c r="F124" s="11"/>
      <c r="G124" s="7"/>
      <c r="H124" s="7"/>
      <c r="I124" s="7"/>
      <c r="J124" s="7"/>
      <c r="K124" s="7"/>
      <c r="L124" s="7"/>
      <c r="M124" s="7"/>
      <c r="N124" s="7"/>
      <c r="O124" s="7"/>
      <c r="P124" s="7"/>
      <c r="Q124" s="7"/>
      <c r="R124" s="7"/>
      <c r="S124" s="7"/>
      <c r="T124" s="7"/>
      <c r="U124" s="7"/>
      <c r="V124" s="7"/>
      <c r="W124" s="7"/>
      <c r="X124" s="7"/>
      <c r="Y124" s="7"/>
      <c r="Z124" s="7"/>
    </row>
    <row r="125" ht="33.75" customHeight="1">
      <c r="A125" s="11"/>
      <c r="B125" s="11"/>
      <c r="C125" s="11"/>
      <c r="D125" s="11"/>
      <c r="E125" s="11"/>
      <c r="F125" s="11"/>
      <c r="G125" s="7"/>
      <c r="H125" s="7"/>
      <c r="I125" s="7"/>
      <c r="J125" s="7"/>
      <c r="K125" s="7"/>
      <c r="L125" s="7"/>
      <c r="M125" s="7"/>
      <c r="N125" s="7"/>
      <c r="O125" s="7"/>
      <c r="P125" s="7"/>
      <c r="Q125" s="7"/>
      <c r="R125" s="7"/>
      <c r="S125" s="7"/>
      <c r="T125" s="7"/>
      <c r="U125" s="7"/>
      <c r="V125" s="7"/>
      <c r="W125" s="7"/>
      <c r="X125" s="7"/>
      <c r="Y125" s="7"/>
      <c r="Z125" s="7"/>
    </row>
    <row r="126" ht="33.75" customHeight="1">
      <c r="A126" s="11"/>
      <c r="B126" s="11"/>
      <c r="C126" s="11"/>
      <c r="D126" s="11"/>
      <c r="E126" s="11"/>
      <c r="F126" s="11"/>
      <c r="G126" s="7"/>
      <c r="H126" s="7"/>
      <c r="I126" s="7"/>
      <c r="J126" s="7"/>
      <c r="K126" s="7"/>
      <c r="L126" s="7"/>
      <c r="M126" s="7"/>
      <c r="N126" s="7"/>
      <c r="O126" s="7"/>
      <c r="P126" s="7"/>
      <c r="Q126" s="7"/>
      <c r="R126" s="7"/>
      <c r="S126" s="7"/>
      <c r="T126" s="7"/>
      <c r="U126" s="7"/>
      <c r="V126" s="7"/>
      <c r="W126" s="7"/>
      <c r="X126" s="7"/>
      <c r="Y126" s="7"/>
      <c r="Z126" s="7"/>
    </row>
    <row r="127" ht="33.75" customHeight="1">
      <c r="A127" s="11"/>
      <c r="B127" s="11"/>
      <c r="C127" s="11"/>
      <c r="D127" s="11"/>
      <c r="E127" s="11"/>
      <c r="F127" s="11"/>
      <c r="G127" s="7"/>
      <c r="H127" s="7"/>
      <c r="I127" s="7"/>
      <c r="J127" s="7"/>
      <c r="K127" s="7"/>
      <c r="L127" s="7"/>
      <c r="M127" s="7"/>
      <c r="N127" s="7"/>
      <c r="O127" s="7"/>
      <c r="P127" s="7"/>
      <c r="Q127" s="7"/>
      <c r="R127" s="7"/>
      <c r="S127" s="7"/>
      <c r="T127" s="7"/>
      <c r="U127" s="7"/>
      <c r="V127" s="7"/>
      <c r="W127" s="7"/>
      <c r="X127" s="7"/>
      <c r="Y127" s="7"/>
      <c r="Z127" s="7"/>
    </row>
    <row r="128" ht="33.75" customHeight="1">
      <c r="A128" s="11"/>
      <c r="B128" s="11"/>
      <c r="C128" s="11"/>
      <c r="D128" s="11"/>
      <c r="E128" s="11"/>
      <c r="F128" s="11"/>
      <c r="G128" s="7"/>
      <c r="H128" s="7"/>
      <c r="I128" s="7"/>
      <c r="J128" s="7"/>
      <c r="K128" s="7"/>
      <c r="L128" s="7"/>
      <c r="M128" s="7"/>
      <c r="N128" s="7"/>
      <c r="O128" s="7"/>
      <c r="P128" s="7"/>
      <c r="Q128" s="7"/>
      <c r="R128" s="7"/>
      <c r="S128" s="7"/>
      <c r="T128" s="7"/>
      <c r="U128" s="7"/>
      <c r="V128" s="7"/>
      <c r="W128" s="7"/>
      <c r="X128" s="7"/>
      <c r="Y128" s="7"/>
      <c r="Z128" s="7"/>
    </row>
    <row r="129" ht="33.75" customHeight="1">
      <c r="A129" s="11"/>
      <c r="B129" s="11"/>
      <c r="C129" s="11"/>
      <c r="D129" s="11"/>
      <c r="E129" s="11"/>
      <c r="F129" s="11"/>
      <c r="G129" s="7"/>
      <c r="H129" s="7"/>
      <c r="I129" s="7"/>
      <c r="J129" s="7"/>
      <c r="K129" s="7"/>
      <c r="L129" s="7"/>
      <c r="M129" s="7"/>
      <c r="N129" s="7"/>
      <c r="O129" s="7"/>
      <c r="P129" s="7"/>
      <c r="Q129" s="7"/>
      <c r="R129" s="7"/>
      <c r="S129" s="7"/>
      <c r="T129" s="7"/>
      <c r="U129" s="7"/>
      <c r="V129" s="7"/>
      <c r="W129" s="7"/>
      <c r="X129" s="7"/>
      <c r="Y129" s="7"/>
      <c r="Z129" s="7"/>
    </row>
    <row r="130" ht="33.75" customHeight="1">
      <c r="A130" s="11"/>
      <c r="B130" s="11"/>
      <c r="C130" s="11"/>
      <c r="D130" s="11"/>
      <c r="E130" s="11"/>
      <c r="F130" s="11"/>
      <c r="G130" s="7"/>
      <c r="H130" s="7"/>
      <c r="I130" s="7"/>
      <c r="J130" s="7"/>
      <c r="K130" s="7"/>
      <c r="L130" s="7"/>
      <c r="M130" s="7"/>
      <c r="N130" s="7"/>
      <c r="O130" s="7"/>
      <c r="P130" s="7"/>
      <c r="Q130" s="7"/>
      <c r="R130" s="7"/>
      <c r="S130" s="7"/>
      <c r="T130" s="7"/>
      <c r="U130" s="7"/>
      <c r="V130" s="7"/>
      <c r="W130" s="7"/>
      <c r="X130" s="7"/>
      <c r="Y130" s="7"/>
      <c r="Z130" s="7"/>
    </row>
    <row r="131" ht="33.75" customHeight="1">
      <c r="A131" s="11"/>
      <c r="B131" s="11"/>
      <c r="C131" s="11"/>
      <c r="D131" s="11"/>
      <c r="E131" s="11"/>
      <c r="F131" s="11"/>
      <c r="G131" s="7"/>
      <c r="H131" s="7"/>
      <c r="I131" s="7"/>
      <c r="J131" s="7"/>
      <c r="K131" s="7"/>
      <c r="L131" s="7"/>
      <c r="M131" s="7"/>
      <c r="N131" s="7"/>
      <c r="O131" s="7"/>
      <c r="P131" s="7"/>
      <c r="Q131" s="7"/>
      <c r="R131" s="7"/>
      <c r="S131" s="7"/>
      <c r="T131" s="7"/>
      <c r="U131" s="7"/>
      <c r="V131" s="7"/>
      <c r="W131" s="7"/>
      <c r="X131" s="7"/>
      <c r="Y131" s="7"/>
      <c r="Z131" s="7"/>
    </row>
    <row r="132" ht="33.75" customHeight="1">
      <c r="A132" s="11"/>
      <c r="B132" s="11"/>
      <c r="C132" s="11"/>
      <c r="D132" s="11"/>
      <c r="E132" s="11"/>
      <c r="F132" s="11"/>
      <c r="G132" s="7"/>
      <c r="H132" s="7"/>
      <c r="I132" s="7"/>
      <c r="J132" s="7"/>
      <c r="K132" s="7"/>
      <c r="L132" s="7"/>
      <c r="M132" s="7"/>
      <c r="N132" s="7"/>
      <c r="O132" s="7"/>
      <c r="P132" s="7"/>
      <c r="Q132" s="7"/>
      <c r="R132" s="7"/>
      <c r="S132" s="7"/>
      <c r="T132" s="7"/>
      <c r="U132" s="7"/>
      <c r="V132" s="7"/>
      <c r="W132" s="7"/>
      <c r="X132" s="7"/>
      <c r="Y132" s="7"/>
      <c r="Z132" s="7"/>
    </row>
    <row r="133" ht="33.75" customHeight="1">
      <c r="A133" s="11"/>
      <c r="B133" s="11"/>
      <c r="C133" s="11"/>
      <c r="D133" s="11"/>
      <c r="E133" s="11"/>
      <c r="F133" s="11"/>
      <c r="G133" s="7"/>
      <c r="H133" s="7"/>
      <c r="I133" s="7"/>
      <c r="J133" s="7"/>
      <c r="K133" s="7"/>
      <c r="L133" s="7"/>
      <c r="M133" s="7"/>
      <c r="N133" s="7"/>
      <c r="O133" s="7"/>
      <c r="P133" s="7"/>
      <c r="Q133" s="7"/>
      <c r="R133" s="7"/>
      <c r="S133" s="7"/>
      <c r="T133" s="7"/>
      <c r="U133" s="7"/>
      <c r="V133" s="7"/>
      <c r="W133" s="7"/>
      <c r="X133" s="7"/>
      <c r="Y133" s="7"/>
      <c r="Z133" s="7"/>
    </row>
    <row r="134" ht="33.75" customHeight="1">
      <c r="A134" s="11"/>
      <c r="B134" s="11"/>
      <c r="C134" s="11"/>
      <c r="D134" s="11"/>
      <c r="E134" s="11"/>
      <c r="F134" s="11"/>
      <c r="G134" s="7"/>
      <c r="H134" s="7"/>
      <c r="I134" s="7"/>
      <c r="J134" s="7"/>
      <c r="K134" s="7"/>
      <c r="L134" s="7"/>
      <c r="M134" s="7"/>
      <c r="N134" s="7"/>
      <c r="O134" s="7"/>
      <c r="P134" s="7"/>
      <c r="Q134" s="7"/>
      <c r="R134" s="7"/>
      <c r="S134" s="7"/>
      <c r="T134" s="7"/>
      <c r="U134" s="7"/>
      <c r="V134" s="7"/>
      <c r="W134" s="7"/>
      <c r="X134" s="7"/>
      <c r="Y134" s="7"/>
      <c r="Z134" s="7"/>
    </row>
    <row r="135" ht="33.75" customHeight="1">
      <c r="A135" s="11"/>
      <c r="B135" s="11"/>
      <c r="C135" s="11"/>
      <c r="D135" s="11"/>
      <c r="E135" s="11"/>
      <c r="F135" s="11"/>
      <c r="G135" s="7"/>
      <c r="H135" s="7"/>
      <c r="I135" s="7"/>
      <c r="J135" s="7"/>
      <c r="K135" s="7"/>
      <c r="L135" s="7"/>
      <c r="M135" s="7"/>
      <c r="N135" s="7"/>
      <c r="O135" s="7"/>
      <c r="P135" s="7"/>
      <c r="Q135" s="7"/>
      <c r="R135" s="7"/>
      <c r="S135" s="7"/>
      <c r="T135" s="7"/>
      <c r="U135" s="7"/>
      <c r="V135" s="7"/>
      <c r="W135" s="7"/>
      <c r="X135" s="7"/>
      <c r="Y135" s="7"/>
      <c r="Z135" s="7"/>
    </row>
    <row r="136" ht="33.75" customHeight="1">
      <c r="A136" s="11"/>
      <c r="B136" s="11"/>
      <c r="C136" s="11"/>
      <c r="D136" s="11"/>
      <c r="E136" s="11"/>
      <c r="F136" s="11"/>
      <c r="G136" s="7"/>
      <c r="H136" s="7"/>
      <c r="I136" s="7"/>
      <c r="J136" s="7"/>
      <c r="K136" s="7"/>
      <c r="L136" s="7"/>
      <c r="M136" s="7"/>
      <c r="N136" s="7"/>
      <c r="O136" s="7"/>
      <c r="P136" s="7"/>
      <c r="Q136" s="7"/>
      <c r="R136" s="7"/>
      <c r="S136" s="7"/>
      <c r="T136" s="7"/>
      <c r="U136" s="7"/>
      <c r="V136" s="7"/>
      <c r="W136" s="7"/>
      <c r="X136" s="7"/>
      <c r="Y136" s="7"/>
      <c r="Z136" s="7"/>
    </row>
    <row r="137" ht="33.75" customHeight="1">
      <c r="A137" s="11"/>
      <c r="B137" s="11"/>
      <c r="C137" s="11"/>
      <c r="D137" s="11"/>
      <c r="E137" s="11"/>
      <c r="F137" s="11"/>
      <c r="G137" s="7"/>
      <c r="H137" s="7"/>
      <c r="I137" s="7"/>
      <c r="J137" s="7"/>
      <c r="K137" s="7"/>
      <c r="L137" s="7"/>
      <c r="M137" s="7"/>
      <c r="N137" s="7"/>
      <c r="O137" s="7"/>
      <c r="P137" s="7"/>
      <c r="Q137" s="7"/>
      <c r="R137" s="7"/>
      <c r="S137" s="7"/>
      <c r="T137" s="7"/>
      <c r="U137" s="7"/>
      <c r="V137" s="7"/>
      <c r="W137" s="7"/>
      <c r="X137" s="7"/>
      <c r="Y137" s="7"/>
      <c r="Z137" s="7"/>
    </row>
    <row r="138" ht="33.75" customHeight="1">
      <c r="A138" s="11"/>
      <c r="B138" s="11"/>
      <c r="C138" s="11"/>
      <c r="D138" s="11"/>
      <c r="E138" s="11"/>
      <c r="F138" s="11"/>
      <c r="G138" s="7"/>
      <c r="H138" s="7"/>
      <c r="I138" s="7"/>
      <c r="J138" s="7"/>
      <c r="K138" s="7"/>
      <c r="L138" s="7"/>
      <c r="M138" s="7"/>
      <c r="N138" s="7"/>
      <c r="O138" s="7"/>
      <c r="P138" s="7"/>
      <c r="Q138" s="7"/>
      <c r="R138" s="7"/>
      <c r="S138" s="7"/>
      <c r="T138" s="7"/>
      <c r="U138" s="7"/>
      <c r="V138" s="7"/>
      <c r="W138" s="7"/>
      <c r="X138" s="7"/>
      <c r="Y138" s="7"/>
      <c r="Z138" s="7"/>
    </row>
    <row r="139" ht="33.75" customHeight="1">
      <c r="A139" s="11"/>
      <c r="B139" s="11"/>
      <c r="C139" s="11"/>
      <c r="D139" s="11"/>
      <c r="E139" s="11"/>
      <c r="F139" s="11"/>
      <c r="G139" s="7"/>
      <c r="H139" s="7"/>
      <c r="I139" s="7"/>
      <c r="J139" s="7"/>
      <c r="K139" s="7"/>
      <c r="L139" s="7"/>
      <c r="M139" s="7"/>
      <c r="N139" s="7"/>
      <c r="O139" s="7"/>
      <c r="P139" s="7"/>
      <c r="Q139" s="7"/>
      <c r="R139" s="7"/>
      <c r="S139" s="7"/>
      <c r="T139" s="7"/>
      <c r="U139" s="7"/>
      <c r="V139" s="7"/>
      <c r="W139" s="7"/>
      <c r="X139" s="7"/>
      <c r="Y139" s="7"/>
      <c r="Z139" s="7"/>
    </row>
    <row r="140" ht="33.75" customHeight="1">
      <c r="A140" s="11"/>
      <c r="B140" s="11"/>
      <c r="C140" s="11"/>
      <c r="D140" s="11"/>
      <c r="E140" s="11"/>
      <c r="F140" s="11"/>
      <c r="G140" s="7"/>
      <c r="H140" s="7"/>
      <c r="I140" s="7"/>
      <c r="J140" s="7"/>
      <c r="K140" s="7"/>
      <c r="L140" s="7"/>
      <c r="M140" s="7"/>
      <c r="N140" s="7"/>
      <c r="O140" s="7"/>
      <c r="P140" s="7"/>
      <c r="Q140" s="7"/>
      <c r="R140" s="7"/>
      <c r="S140" s="7"/>
      <c r="T140" s="7"/>
      <c r="U140" s="7"/>
      <c r="V140" s="7"/>
      <c r="W140" s="7"/>
      <c r="X140" s="7"/>
      <c r="Y140" s="7"/>
      <c r="Z140" s="7"/>
    </row>
    <row r="141" ht="33.75" customHeight="1">
      <c r="A141" s="11"/>
      <c r="B141" s="11"/>
      <c r="C141" s="11"/>
      <c r="D141" s="11"/>
      <c r="E141" s="11"/>
      <c r="F141" s="11"/>
      <c r="G141" s="7"/>
      <c r="H141" s="7"/>
      <c r="I141" s="7"/>
      <c r="J141" s="7"/>
      <c r="K141" s="7"/>
      <c r="L141" s="7"/>
      <c r="M141" s="7"/>
      <c r="N141" s="7"/>
      <c r="O141" s="7"/>
      <c r="P141" s="7"/>
      <c r="Q141" s="7"/>
      <c r="R141" s="7"/>
      <c r="S141" s="7"/>
      <c r="T141" s="7"/>
      <c r="U141" s="7"/>
      <c r="V141" s="7"/>
      <c r="W141" s="7"/>
      <c r="X141" s="7"/>
      <c r="Y141" s="7"/>
      <c r="Z141" s="7"/>
    </row>
    <row r="142" ht="33.75" customHeight="1">
      <c r="A142" s="11"/>
      <c r="B142" s="11"/>
      <c r="C142" s="11"/>
      <c r="D142" s="11"/>
      <c r="E142" s="11"/>
      <c r="F142" s="11"/>
      <c r="G142" s="7"/>
      <c r="H142" s="7"/>
      <c r="I142" s="7"/>
      <c r="J142" s="7"/>
      <c r="K142" s="7"/>
      <c r="L142" s="7"/>
      <c r="M142" s="7"/>
      <c r="N142" s="7"/>
      <c r="O142" s="7"/>
      <c r="P142" s="7"/>
      <c r="Q142" s="7"/>
      <c r="R142" s="7"/>
      <c r="S142" s="7"/>
      <c r="T142" s="7"/>
      <c r="U142" s="7"/>
      <c r="V142" s="7"/>
      <c r="W142" s="7"/>
      <c r="X142" s="7"/>
      <c r="Y142" s="7"/>
      <c r="Z142" s="7"/>
    </row>
    <row r="143" ht="33.75" customHeight="1">
      <c r="A143" s="11"/>
      <c r="B143" s="11"/>
      <c r="C143" s="11"/>
      <c r="D143" s="11"/>
      <c r="E143" s="11"/>
      <c r="F143" s="11"/>
      <c r="G143" s="7"/>
      <c r="H143" s="7"/>
      <c r="I143" s="7"/>
      <c r="J143" s="7"/>
      <c r="K143" s="7"/>
      <c r="L143" s="7"/>
      <c r="M143" s="7"/>
      <c r="N143" s="7"/>
      <c r="O143" s="7"/>
      <c r="P143" s="7"/>
      <c r="Q143" s="7"/>
      <c r="R143" s="7"/>
      <c r="S143" s="7"/>
      <c r="T143" s="7"/>
      <c r="U143" s="7"/>
      <c r="V143" s="7"/>
      <c r="W143" s="7"/>
      <c r="X143" s="7"/>
      <c r="Y143" s="7"/>
      <c r="Z143" s="7"/>
    </row>
    <row r="144" ht="33.75" customHeight="1">
      <c r="A144" s="11"/>
      <c r="B144" s="11"/>
      <c r="C144" s="11"/>
      <c r="D144" s="11"/>
      <c r="E144" s="11"/>
      <c r="F144" s="11"/>
      <c r="G144" s="7"/>
      <c r="H144" s="7"/>
      <c r="I144" s="7"/>
      <c r="J144" s="7"/>
      <c r="K144" s="7"/>
      <c r="L144" s="7"/>
      <c r="M144" s="7"/>
      <c r="N144" s="7"/>
      <c r="O144" s="7"/>
      <c r="P144" s="7"/>
      <c r="Q144" s="7"/>
      <c r="R144" s="7"/>
      <c r="S144" s="7"/>
      <c r="T144" s="7"/>
      <c r="U144" s="7"/>
      <c r="V144" s="7"/>
      <c r="W144" s="7"/>
      <c r="X144" s="7"/>
      <c r="Y144" s="7"/>
      <c r="Z144" s="7"/>
    </row>
    <row r="145" ht="33.75" customHeight="1">
      <c r="A145" s="11"/>
      <c r="B145" s="11"/>
      <c r="C145" s="11"/>
      <c r="D145" s="11"/>
      <c r="E145" s="11"/>
      <c r="F145" s="11"/>
      <c r="G145" s="7"/>
      <c r="H145" s="7"/>
      <c r="I145" s="7"/>
      <c r="J145" s="7"/>
      <c r="K145" s="7"/>
      <c r="L145" s="7"/>
      <c r="M145" s="7"/>
      <c r="N145" s="7"/>
      <c r="O145" s="7"/>
      <c r="P145" s="7"/>
      <c r="Q145" s="7"/>
      <c r="R145" s="7"/>
      <c r="S145" s="7"/>
      <c r="T145" s="7"/>
      <c r="U145" s="7"/>
      <c r="V145" s="7"/>
      <c r="W145" s="7"/>
      <c r="X145" s="7"/>
      <c r="Y145" s="7"/>
      <c r="Z145" s="7"/>
    </row>
    <row r="146" ht="33.75" customHeight="1">
      <c r="A146" s="11"/>
      <c r="B146" s="11"/>
      <c r="C146" s="11"/>
      <c r="D146" s="11"/>
      <c r="E146" s="11"/>
      <c r="F146" s="11"/>
      <c r="G146" s="7"/>
      <c r="H146" s="7"/>
      <c r="I146" s="7"/>
      <c r="J146" s="7"/>
      <c r="K146" s="7"/>
      <c r="L146" s="7"/>
      <c r="M146" s="7"/>
      <c r="N146" s="7"/>
      <c r="O146" s="7"/>
      <c r="P146" s="7"/>
      <c r="Q146" s="7"/>
      <c r="R146" s="7"/>
      <c r="S146" s="7"/>
      <c r="T146" s="7"/>
      <c r="U146" s="7"/>
      <c r="V146" s="7"/>
      <c r="W146" s="7"/>
      <c r="X146" s="7"/>
      <c r="Y146" s="7"/>
      <c r="Z146" s="7"/>
    </row>
    <row r="147" ht="33.75" customHeight="1">
      <c r="A147" s="11"/>
      <c r="B147" s="11"/>
      <c r="C147" s="11"/>
      <c r="D147" s="11"/>
      <c r="E147" s="11"/>
      <c r="F147" s="11"/>
      <c r="G147" s="7"/>
      <c r="H147" s="7"/>
      <c r="I147" s="7"/>
      <c r="J147" s="7"/>
      <c r="K147" s="7"/>
      <c r="L147" s="7"/>
      <c r="M147" s="7"/>
      <c r="N147" s="7"/>
      <c r="O147" s="7"/>
      <c r="P147" s="7"/>
      <c r="Q147" s="7"/>
      <c r="R147" s="7"/>
      <c r="S147" s="7"/>
      <c r="T147" s="7"/>
      <c r="U147" s="7"/>
      <c r="V147" s="7"/>
      <c r="W147" s="7"/>
      <c r="X147" s="7"/>
      <c r="Y147" s="7"/>
      <c r="Z147" s="7"/>
    </row>
    <row r="148" ht="33.75" customHeight="1">
      <c r="A148" s="11"/>
      <c r="B148" s="11"/>
      <c r="C148" s="11"/>
      <c r="D148" s="11"/>
      <c r="E148" s="11"/>
      <c r="F148" s="11"/>
      <c r="G148" s="7"/>
      <c r="H148" s="7"/>
      <c r="I148" s="7"/>
      <c r="J148" s="7"/>
      <c r="K148" s="7"/>
      <c r="L148" s="7"/>
      <c r="M148" s="7"/>
      <c r="N148" s="7"/>
      <c r="O148" s="7"/>
      <c r="P148" s="7"/>
      <c r="Q148" s="7"/>
      <c r="R148" s="7"/>
      <c r="S148" s="7"/>
      <c r="T148" s="7"/>
      <c r="U148" s="7"/>
      <c r="V148" s="7"/>
      <c r="W148" s="7"/>
      <c r="X148" s="7"/>
      <c r="Y148" s="7"/>
      <c r="Z148" s="7"/>
    </row>
    <row r="149" ht="33.75" customHeight="1">
      <c r="A149" s="11"/>
      <c r="B149" s="11"/>
      <c r="C149" s="11"/>
      <c r="D149" s="11"/>
      <c r="E149" s="11"/>
      <c r="F149" s="11"/>
      <c r="G149" s="7"/>
      <c r="H149" s="7"/>
      <c r="I149" s="7"/>
      <c r="J149" s="7"/>
      <c r="K149" s="7"/>
      <c r="L149" s="7"/>
      <c r="M149" s="7"/>
      <c r="N149" s="7"/>
      <c r="O149" s="7"/>
      <c r="P149" s="7"/>
      <c r="Q149" s="7"/>
      <c r="R149" s="7"/>
      <c r="S149" s="7"/>
      <c r="T149" s="7"/>
      <c r="U149" s="7"/>
      <c r="V149" s="7"/>
      <c r="W149" s="7"/>
      <c r="X149" s="7"/>
      <c r="Y149" s="7"/>
      <c r="Z149" s="7"/>
    </row>
    <row r="150" ht="33.75" customHeight="1">
      <c r="A150" s="11"/>
      <c r="B150" s="11"/>
      <c r="C150" s="11"/>
      <c r="D150" s="11"/>
      <c r="E150" s="11"/>
      <c r="F150" s="11"/>
      <c r="G150" s="7"/>
      <c r="H150" s="7"/>
      <c r="I150" s="7"/>
      <c r="J150" s="7"/>
      <c r="K150" s="7"/>
      <c r="L150" s="7"/>
      <c r="M150" s="7"/>
      <c r="N150" s="7"/>
      <c r="O150" s="7"/>
      <c r="P150" s="7"/>
      <c r="Q150" s="7"/>
      <c r="R150" s="7"/>
      <c r="S150" s="7"/>
      <c r="T150" s="7"/>
      <c r="U150" s="7"/>
      <c r="V150" s="7"/>
      <c r="W150" s="7"/>
      <c r="X150" s="7"/>
      <c r="Y150" s="7"/>
      <c r="Z150" s="7"/>
    </row>
    <row r="151" ht="33.75" customHeight="1">
      <c r="A151" s="11"/>
      <c r="B151" s="11"/>
      <c r="C151" s="11"/>
      <c r="D151" s="11"/>
      <c r="E151" s="11"/>
      <c r="F151" s="11"/>
      <c r="G151" s="7"/>
      <c r="H151" s="7"/>
      <c r="I151" s="7"/>
      <c r="J151" s="7"/>
      <c r="K151" s="7"/>
      <c r="L151" s="7"/>
      <c r="M151" s="7"/>
      <c r="N151" s="7"/>
      <c r="O151" s="7"/>
      <c r="P151" s="7"/>
      <c r="Q151" s="7"/>
      <c r="R151" s="7"/>
      <c r="S151" s="7"/>
      <c r="T151" s="7"/>
      <c r="U151" s="7"/>
      <c r="V151" s="7"/>
      <c r="W151" s="7"/>
      <c r="X151" s="7"/>
      <c r="Y151" s="7"/>
      <c r="Z151" s="7"/>
    </row>
    <row r="152" ht="33.75" customHeight="1">
      <c r="A152" s="11"/>
      <c r="B152" s="11"/>
      <c r="C152" s="11"/>
      <c r="D152" s="11"/>
      <c r="E152" s="11"/>
      <c r="F152" s="11"/>
      <c r="G152" s="7"/>
      <c r="H152" s="7"/>
      <c r="I152" s="7"/>
      <c r="J152" s="7"/>
      <c r="K152" s="7"/>
      <c r="L152" s="7"/>
      <c r="M152" s="7"/>
      <c r="N152" s="7"/>
      <c r="O152" s="7"/>
      <c r="P152" s="7"/>
      <c r="Q152" s="7"/>
      <c r="R152" s="7"/>
      <c r="S152" s="7"/>
      <c r="T152" s="7"/>
      <c r="U152" s="7"/>
      <c r="V152" s="7"/>
      <c r="W152" s="7"/>
      <c r="X152" s="7"/>
      <c r="Y152" s="7"/>
      <c r="Z152" s="7"/>
    </row>
    <row r="153" ht="33.75" customHeight="1">
      <c r="A153" s="11"/>
      <c r="B153" s="11"/>
      <c r="C153" s="11"/>
      <c r="D153" s="11"/>
      <c r="E153" s="11"/>
      <c r="F153" s="11"/>
      <c r="G153" s="7"/>
      <c r="H153" s="7"/>
      <c r="I153" s="7"/>
      <c r="J153" s="7"/>
      <c r="K153" s="7"/>
      <c r="L153" s="7"/>
      <c r="M153" s="7"/>
      <c r="N153" s="7"/>
      <c r="O153" s="7"/>
      <c r="P153" s="7"/>
      <c r="Q153" s="7"/>
      <c r="R153" s="7"/>
      <c r="S153" s="7"/>
      <c r="T153" s="7"/>
      <c r="U153" s="7"/>
      <c r="V153" s="7"/>
      <c r="W153" s="7"/>
      <c r="X153" s="7"/>
      <c r="Y153" s="7"/>
      <c r="Z153" s="7"/>
    </row>
    <row r="154" ht="33.75" customHeight="1">
      <c r="A154" s="11"/>
      <c r="B154" s="11"/>
      <c r="C154" s="11"/>
      <c r="D154" s="11"/>
      <c r="E154" s="11"/>
      <c r="F154" s="11"/>
      <c r="G154" s="7"/>
      <c r="H154" s="7"/>
      <c r="I154" s="7"/>
      <c r="J154" s="7"/>
      <c r="K154" s="7"/>
      <c r="L154" s="7"/>
      <c r="M154" s="7"/>
      <c r="N154" s="7"/>
      <c r="O154" s="7"/>
      <c r="P154" s="7"/>
      <c r="Q154" s="7"/>
      <c r="R154" s="7"/>
      <c r="S154" s="7"/>
      <c r="T154" s="7"/>
      <c r="U154" s="7"/>
      <c r="V154" s="7"/>
      <c r="W154" s="7"/>
      <c r="X154" s="7"/>
      <c r="Y154" s="7"/>
      <c r="Z154" s="7"/>
    </row>
    <row r="155" ht="33.75" customHeight="1">
      <c r="A155" s="11"/>
      <c r="B155" s="11"/>
      <c r="C155" s="11"/>
      <c r="D155" s="11"/>
      <c r="E155" s="11"/>
      <c r="F155" s="11"/>
      <c r="G155" s="7"/>
      <c r="H155" s="7"/>
      <c r="I155" s="7"/>
      <c r="J155" s="7"/>
      <c r="K155" s="7"/>
      <c r="L155" s="7"/>
      <c r="M155" s="7"/>
      <c r="N155" s="7"/>
      <c r="O155" s="7"/>
      <c r="P155" s="7"/>
      <c r="Q155" s="7"/>
      <c r="R155" s="7"/>
      <c r="S155" s="7"/>
      <c r="T155" s="7"/>
      <c r="U155" s="7"/>
      <c r="V155" s="7"/>
      <c r="W155" s="7"/>
      <c r="X155" s="7"/>
      <c r="Y155" s="7"/>
      <c r="Z155" s="7"/>
    </row>
    <row r="156" ht="33.75" customHeight="1">
      <c r="A156" s="11"/>
      <c r="B156" s="11"/>
      <c r="C156" s="11"/>
      <c r="D156" s="11"/>
      <c r="E156" s="11"/>
      <c r="F156" s="11"/>
      <c r="G156" s="7"/>
      <c r="H156" s="7"/>
      <c r="I156" s="7"/>
      <c r="J156" s="7"/>
      <c r="K156" s="7"/>
      <c r="L156" s="7"/>
      <c r="M156" s="7"/>
      <c r="N156" s="7"/>
      <c r="O156" s="7"/>
      <c r="P156" s="7"/>
      <c r="Q156" s="7"/>
      <c r="R156" s="7"/>
      <c r="S156" s="7"/>
      <c r="T156" s="7"/>
      <c r="U156" s="7"/>
      <c r="V156" s="7"/>
      <c r="W156" s="7"/>
      <c r="X156" s="7"/>
      <c r="Y156" s="7"/>
      <c r="Z156" s="7"/>
    </row>
    <row r="157" ht="33.75" customHeight="1">
      <c r="A157" s="11"/>
      <c r="B157" s="11"/>
      <c r="C157" s="11"/>
      <c r="D157" s="11"/>
      <c r="E157" s="11"/>
      <c r="F157" s="11"/>
      <c r="G157" s="7"/>
      <c r="H157" s="7"/>
      <c r="I157" s="7"/>
      <c r="J157" s="7"/>
      <c r="K157" s="7"/>
      <c r="L157" s="7"/>
      <c r="M157" s="7"/>
      <c r="N157" s="7"/>
      <c r="O157" s="7"/>
      <c r="P157" s="7"/>
      <c r="Q157" s="7"/>
      <c r="R157" s="7"/>
      <c r="S157" s="7"/>
      <c r="T157" s="7"/>
      <c r="U157" s="7"/>
      <c r="V157" s="7"/>
      <c r="W157" s="7"/>
      <c r="X157" s="7"/>
      <c r="Y157" s="7"/>
      <c r="Z157" s="7"/>
    </row>
    <row r="158" ht="33.75" customHeight="1">
      <c r="A158" s="11"/>
      <c r="B158" s="11"/>
      <c r="C158" s="11"/>
      <c r="D158" s="11"/>
      <c r="E158" s="11"/>
      <c r="F158" s="11"/>
      <c r="G158" s="7"/>
      <c r="H158" s="7"/>
      <c r="I158" s="7"/>
      <c r="J158" s="7"/>
      <c r="K158" s="7"/>
      <c r="L158" s="7"/>
      <c r="M158" s="7"/>
      <c r="N158" s="7"/>
      <c r="O158" s="7"/>
      <c r="P158" s="7"/>
      <c r="Q158" s="7"/>
      <c r="R158" s="7"/>
      <c r="S158" s="7"/>
      <c r="T158" s="7"/>
      <c r="U158" s="7"/>
      <c r="V158" s="7"/>
      <c r="W158" s="7"/>
      <c r="X158" s="7"/>
      <c r="Y158" s="7"/>
      <c r="Z158" s="7"/>
    </row>
    <row r="159" ht="33.75" customHeight="1">
      <c r="A159" s="11"/>
      <c r="B159" s="11"/>
      <c r="C159" s="11"/>
      <c r="D159" s="11"/>
      <c r="E159" s="11"/>
      <c r="F159" s="11"/>
      <c r="G159" s="7"/>
      <c r="H159" s="7"/>
      <c r="I159" s="7"/>
      <c r="J159" s="7"/>
      <c r="K159" s="7"/>
      <c r="L159" s="7"/>
      <c r="M159" s="7"/>
      <c r="N159" s="7"/>
      <c r="O159" s="7"/>
      <c r="P159" s="7"/>
      <c r="Q159" s="7"/>
      <c r="R159" s="7"/>
      <c r="S159" s="7"/>
      <c r="T159" s="7"/>
      <c r="U159" s="7"/>
      <c r="V159" s="7"/>
      <c r="W159" s="7"/>
      <c r="X159" s="7"/>
      <c r="Y159" s="7"/>
      <c r="Z159" s="7"/>
    </row>
    <row r="160" ht="33.75" customHeight="1">
      <c r="A160" s="11"/>
      <c r="B160" s="11"/>
      <c r="C160" s="11"/>
      <c r="D160" s="11"/>
      <c r="E160" s="11"/>
      <c r="F160" s="11"/>
      <c r="G160" s="7"/>
      <c r="H160" s="7"/>
      <c r="I160" s="7"/>
      <c r="J160" s="7"/>
      <c r="K160" s="7"/>
      <c r="L160" s="7"/>
      <c r="M160" s="7"/>
      <c r="N160" s="7"/>
      <c r="O160" s="7"/>
      <c r="P160" s="7"/>
      <c r="Q160" s="7"/>
      <c r="R160" s="7"/>
      <c r="S160" s="7"/>
      <c r="T160" s="7"/>
      <c r="U160" s="7"/>
      <c r="V160" s="7"/>
      <c r="W160" s="7"/>
      <c r="X160" s="7"/>
      <c r="Y160" s="7"/>
      <c r="Z160" s="7"/>
    </row>
    <row r="161" ht="33.75" customHeight="1">
      <c r="A161" s="11"/>
      <c r="B161" s="11"/>
      <c r="C161" s="11"/>
      <c r="D161" s="11"/>
      <c r="E161" s="11"/>
      <c r="F161" s="11"/>
      <c r="G161" s="7"/>
      <c r="H161" s="7"/>
      <c r="I161" s="7"/>
      <c r="J161" s="7"/>
      <c r="K161" s="7"/>
      <c r="L161" s="7"/>
      <c r="M161" s="7"/>
      <c r="N161" s="7"/>
      <c r="O161" s="7"/>
      <c r="P161" s="7"/>
      <c r="Q161" s="7"/>
      <c r="R161" s="7"/>
      <c r="S161" s="7"/>
      <c r="T161" s="7"/>
      <c r="U161" s="7"/>
      <c r="V161" s="7"/>
      <c r="W161" s="7"/>
      <c r="X161" s="7"/>
      <c r="Y161" s="7"/>
      <c r="Z161" s="7"/>
    </row>
    <row r="162" ht="33.75" customHeight="1">
      <c r="A162" s="11"/>
      <c r="B162" s="11"/>
      <c r="C162" s="11"/>
      <c r="D162" s="11"/>
      <c r="E162" s="11"/>
      <c r="F162" s="11"/>
      <c r="G162" s="7"/>
      <c r="H162" s="7"/>
      <c r="I162" s="7"/>
      <c r="J162" s="7"/>
      <c r="K162" s="7"/>
      <c r="L162" s="7"/>
      <c r="M162" s="7"/>
      <c r="N162" s="7"/>
      <c r="O162" s="7"/>
      <c r="P162" s="7"/>
      <c r="Q162" s="7"/>
      <c r="R162" s="7"/>
      <c r="S162" s="7"/>
      <c r="T162" s="7"/>
      <c r="U162" s="7"/>
      <c r="V162" s="7"/>
      <c r="W162" s="7"/>
      <c r="X162" s="7"/>
      <c r="Y162" s="7"/>
      <c r="Z162" s="7"/>
    </row>
    <row r="163" ht="33.75" customHeight="1">
      <c r="A163" s="11"/>
      <c r="B163" s="11"/>
      <c r="C163" s="11"/>
      <c r="D163" s="11"/>
      <c r="E163" s="11"/>
      <c r="F163" s="11"/>
      <c r="G163" s="7"/>
      <c r="H163" s="7"/>
      <c r="I163" s="7"/>
      <c r="J163" s="7"/>
      <c r="K163" s="7"/>
      <c r="L163" s="7"/>
      <c r="M163" s="7"/>
      <c r="N163" s="7"/>
      <c r="O163" s="7"/>
      <c r="P163" s="7"/>
      <c r="Q163" s="7"/>
      <c r="R163" s="7"/>
      <c r="S163" s="7"/>
      <c r="T163" s="7"/>
      <c r="U163" s="7"/>
      <c r="V163" s="7"/>
      <c r="W163" s="7"/>
      <c r="X163" s="7"/>
      <c r="Y163" s="7"/>
      <c r="Z163" s="7"/>
    </row>
    <row r="164" ht="33.75" customHeight="1">
      <c r="A164" s="11"/>
      <c r="B164" s="11"/>
      <c r="C164" s="11"/>
      <c r="D164" s="11"/>
      <c r="E164" s="11"/>
      <c r="F164" s="11"/>
      <c r="G164" s="7"/>
      <c r="H164" s="7"/>
      <c r="I164" s="7"/>
      <c r="J164" s="7"/>
      <c r="K164" s="7"/>
      <c r="L164" s="7"/>
      <c r="M164" s="7"/>
      <c r="N164" s="7"/>
      <c r="O164" s="7"/>
      <c r="P164" s="7"/>
      <c r="Q164" s="7"/>
      <c r="R164" s="7"/>
      <c r="S164" s="7"/>
      <c r="T164" s="7"/>
      <c r="U164" s="7"/>
      <c r="V164" s="7"/>
      <c r="W164" s="7"/>
      <c r="X164" s="7"/>
      <c r="Y164" s="7"/>
      <c r="Z164" s="7"/>
    </row>
    <row r="165" ht="33.75" customHeight="1">
      <c r="A165" s="11"/>
      <c r="B165" s="11"/>
      <c r="C165" s="11"/>
      <c r="D165" s="11"/>
      <c r="E165" s="11"/>
      <c r="F165" s="11"/>
      <c r="G165" s="7"/>
      <c r="H165" s="7"/>
      <c r="I165" s="7"/>
      <c r="J165" s="7"/>
      <c r="K165" s="7"/>
      <c r="L165" s="7"/>
      <c r="M165" s="7"/>
      <c r="N165" s="7"/>
      <c r="O165" s="7"/>
      <c r="P165" s="7"/>
      <c r="Q165" s="7"/>
      <c r="R165" s="7"/>
      <c r="S165" s="7"/>
      <c r="T165" s="7"/>
      <c r="U165" s="7"/>
      <c r="V165" s="7"/>
      <c r="W165" s="7"/>
      <c r="X165" s="7"/>
      <c r="Y165" s="7"/>
      <c r="Z165" s="7"/>
    </row>
    <row r="166" ht="33.75" customHeight="1">
      <c r="A166" s="11"/>
      <c r="B166" s="11"/>
      <c r="C166" s="11"/>
      <c r="D166" s="11"/>
      <c r="E166" s="11"/>
      <c r="F166" s="11"/>
      <c r="G166" s="7"/>
      <c r="H166" s="7"/>
      <c r="I166" s="7"/>
      <c r="J166" s="7"/>
      <c r="K166" s="7"/>
      <c r="L166" s="7"/>
      <c r="M166" s="7"/>
      <c r="N166" s="7"/>
      <c r="O166" s="7"/>
      <c r="P166" s="7"/>
      <c r="Q166" s="7"/>
      <c r="R166" s="7"/>
      <c r="S166" s="7"/>
      <c r="T166" s="7"/>
      <c r="U166" s="7"/>
      <c r="V166" s="7"/>
      <c r="W166" s="7"/>
      <c r="X166" s="7"/>
      <c r="Y166" s="7"/>
      <c r="Z166" s="7"/>
    </row>
    <row r="167" ht="33.75" customHeight="1">
      <c r="A167" s="11"/>
      <c r="B167" s="11"/>
      <c r="C167" s="11"/>
      <c r="D167" s="11"/>
      <c r="E167" s="11"/>
      <c r="F167" s="11"/>
      <c r="G167" s="7"/>
      <c r="H167" s="7"/>
      <c r="I167" s="7"/>
      <c r="J167" s="7"/>
      <c r="K167" s="7"/>
      <c r="L167" s="7"/>
      <c r="M167" s="7"/>
      <c r="N167" s="7"/>
      <c r="O167" s="7"/>
      <c r="P167" s="7"/>
      <c r="Q167" s="7"/>
      <c r="R167" s="7"/>
      <c r="S167" s="7"/>
      <c r="T167" s="7"/>
      <c r="U167" s="7"/>
      <c r="V167" s="7"/>
      <c r="W167" s="7"/>
      <c r="X167" s="7"/>
      <c r="Y167" s="7"/>
      <c r="Z167" s="7"/>
    </row>
    <row r="168" ht="33.75" customHeight="1">
      <c r="A168" s="11"/>
      <c r="B168" s="11"/>
      <c r="C168" s="11"/>
      <c r="D168" s="11"/>
      <c r="E168" s="11"/>
      <c r="F168" s="11"/>
      <c r="G168" s="7"/>
      <c r="H168" s="7"/>
      <c r="I168" s="7"/>
      <c r="J168" s="7"/>
      <c r="K168" s="7"/>
      <c r="L168" s="7"/>
      <c r="M168" s="7"/>
      <c r="N168" s="7"/>
      <c r="O168" s="7"/>
      <c r="P168" s="7"/>
      <c r="Q168" s="7"/>
      <c r="R168" s="7"/>
      <c r="S168" s="7"/>
      <c r="T168" s="7"/>
      <c r="U168" s="7"/>
      <c r="V168" s="7"/>
      <c r="W168" s="7"/>
      <c r="X168" s="7"/>
      <c r="Y168" s="7"/>
      <c r="Z168" s="7"/>
    </row>
    <row r="169" ht="33.75" customHeight="1">
      <c r="A169" s="11"/>
      <c r="B169" s="11"/>
      <c r="C169" s="11"/>
      <c r="D169" s="11"/>
      <c r="E169" s="11"/>
      <c r="F169" s="11"/>
      <c r="G169" s="7"/>
      <c r="H169" s="7"/>
      <c r="I169" s="7"/>
      <c r="J169" s="7"/>
      <c r="K169" s="7"/>
      <c r="L169" s="7"/>
      <c r="M169" s="7"/>
      <c r="N169" s="7"/>
      <c r="O169" s="7"/>
      <c r="P169" s="7"/>
      <c r="Q169" s="7"/>
      <c r="R169" s="7"/>
      <c r="S169" s="7"/>
      <c r="T169" s="7"/>
      <c r="U169" s="7"/>
      <c r="V169" s="7"/>
      <c r="W169" s="7"/>
      <c r="X169" s="7"/>
      <c r="Y169" s="7"/>
      <c r="Z169" s="7"/>
    </row>
    <row r="170" ht="33.75" customHeight="1">
      <c r="A170" s="11"/>
      <c r="B170" s="11"/>
      <c r="C170" s="11"/>
      <c r="D170" s="11"/>
      <c r="E170" s="11"/>
      <c r="F170" s="11"/>
      <c r="G170" s="7"/>
      <c r="H170" s="7"/>
      <c r="I170" s="7"/>
      <c r="J170" s="7"/>
      <c r="K170" s="7"/>
      <c r="L170" s="7"/>
      <c r="M170" s="7"/>
      <c r="N170" s="7"/>
      <c r="O170" s="7"/>
      <c r="P170" s="7"/>
      <c r="Q170" s="7"/>
      <c r="R170" s="7"/>
      <c r="S170" s="7"/>
      <c r="T170" s="7"/>
      <c r="U170" s="7"/>
      <c r="V170" s="7"/>
      <c r="W170" s="7"/>
      <c r="X170" s="7"/>
      <c r="Y170" s="7"/>
      <c r="Z170" s="7"/>
    </row>
    <row r="171" ht="33.75" customHeight="1">
      <c r="A171" s="11"/>
      <c r="B171" s="11"/>
      <c r="C171" s="11"/>
      <c r="D171" s="11"/>
      <c r="E171" s="11"/>
      <c r="F171" s="11"/>
      <c r="G171" s="7"/>
      <c r="H171" s="7"/>
      <c r="I171" s="7"/>
      <c r="J171" s="7"/>
      <c r="K171" s="7"/>
      <c r="L171" s="7"/>
      <c r="M171" s="7"/>
      <c r="N171" s="7"/>
      <c r="O171" s="7"/>
      <c r="P171" s="7"/>
      <c r="Q171" s="7"/>
      <c r="R171" s="7"/>
      <c r="S171" s="7"/>
      <c r="T171" s="7"/>
      <c r="U171" s="7"/>
      <c r="V171" s="7"/>
      <c r="W171" s="7"/>
      <c r="X171" s="7"/>
      <c r="Y171" s="7"/>
      <c r="Z171" s="7"/>
    </row>
    <row r="172" ht="33.75" customHeight="1">
      <c r="A172" s="11"/>
      <c r="B172" s="11"/>
      <c r="C172" s="11"/>
      <c r="D172" s="11"/>
      <c r="E172" s="11"/>
      <c r="F172" s="11"/>
      <c r="G172" s="7"/>
      <c r="H172" s="7"/>
      <c r="I172" s="7"/>
      <c r="J172" s="7"/>
      <c r="K172" s="7"/>
      <c r="L172" s="7"/>
      <c r="M172" s="7"/>
      <c r="N172" s="7"/>
      <c r="O172" s="7"/>
      <c r="P172" s="7"/>
      <c r="Q172" s="7"/>
      <c r="R172" s="7"/>
      <c r="S172" s="7"/>
      <c r="T172" s="7"/>
      <c r="U172" s="7"/>
      <c r="V172" s="7"/>
      <c r="W172" s="7"/>
      <c r="X172" s="7"/>
      <c r="Y172" s="7"/>
      <c r="Z172" s="7"/>
    </row>
    <row r="173" ht="33.75" customHeight="1">
      <c r="A173" s="11"/>
      <c r="B173" s="11"/>
      <c r="C173" s="11"/>
      <c r="D173" s="11"/>
      <c r="E173" s="11"/>
      <c r="F173" s="11"/>
      <c r="G173" s="7"/>
      <c r="H173" s="7"/>
      <c r="I173" s="7"/>
      <c r="J173" s="7"/>
      <c r="K173" s="7"/>
      <c r="L173" s="7"/>
      <c r="M173" s="7"/>
      <c r="N173" s="7"/>
      <c r="O173" s="7"/>
      <c r="P173" s="7"/>
      <c r="Q173" s="7"/>
      <c r="R173" s="7"/>
      <c r="S173" s="7"/>
      <c r="T173" s="7"/>
      <c r="U173" s="7"/>
      <c r="V173" s="7"/>
      <c r="W173" s="7"/>
      <c r="X173" s="7"/>
      <c r="Y173" s="7"/>
      <c r="Z173" s="7"/>
    </row>
    <row r="174" ht="33.75" customHeight="1">
      <c r="A174" s="11"/>
      <c r="B174" s="11"/>
      <c r="C174" s="11"/>
      <c r="D174" s="11"/>
      <c r="E174" s="11"/>
      <c r="F174" s="11"/>
      <c r="G174" s="7"/>
      <c r="H174" s="7"/>
      <c r="I174" s="7"/>
      <c r="J174" s="7"/>
      <c r="K174" s="7"/>
      <c r="L174" s="7"/>
      <c r="M174" s="7"/>
      <c r="N174" s="7"/>
      <c r="O174" s="7"/>
      <c r="P174" s="7"/>
      <c r="Q174" s="7"/>
      <c r="R174" s="7"/>
      <c r="S174" s="7"/>
      <c r="T174" s="7"/>
      <c r="U174" s="7"/>
      <c r="V174" s="7"/>
      <c r="W174" s="7"/>
      <c r="X174" s="7"/>
      <c r="Y174" s="7"/>
      <c r="Z174" s="7"/>
    </row>
    <row r="175" ht="33.75" customHeight="1">
      <c r="A175" s="11"/>
      <c r="B175" s="11"/>
      <c r="C175" s="11"/>
      <c r="D175" s="11"/>
      <c r="E175" s="11"/>
      <c r="F175" s="11"/>
      <c r="G175" s="7"/>
      <c r="H175" s="7"/>
      <c r="I175" s="7"/>
      <c r="J175" s="7"/>
      <c r="K175" s="7"/>
      <c r="L175" s="7"/>
      <c r="M175" s="7"/>
      <c r="N175" s="7"/>
      <c r="O175" s="7"/>
      <c r="P175" s="7"/>
      <c r="Q175" s="7"/>
      <c r="R175" s="7"/>
      <c r="S175" s="7"/>
      <c r="T175" s="7"/>
      <c r="U175" s="7"/>
      <c r="V175" s="7"/>
      <c r="W175" s="7"/>
      <c r="X175" s="7"/>
      <c r="Y175" s="7"/>
      <c r="Z175" s="7"/>
    </row>
    <row r="176" ht="33.75" customHeight="1">
      <c r="A176" s="11"/>
      <c r="B176" s="11"/>
      <c r="C176" s="11"/>
      <c r="D176" s="11"/>
      <c r="E176" s="11"/>
      <c r="F176" s="11"/>
      <c r="G176" s="7"/>
      <c r="H176" s="7"/>
      <c r="I176" s="7"/>
      <c r="J176" s="7"/>
      <c r="K176" s="7"/>
      <c r="L176" s="7"/>
      <c r="M176" s="7"/>
      <c r="N176" s="7"/>
      <c r="O176" s="7"/>
      <c r="P176" s="7"/>
      <c r="Q176" s="7"/>
      <c r="R176" s="7"/>
      <c r="S176" s="7"/>
      <c r="T176" s="7"/>
      <c r="U176" s="7"/>
      <c r="V176" s="7"/>
      <c r="W176" s="7"/>
      <c r="X176" s="7"/>
      <c r="Y176" s="7"/>
      <c r="Z176" s="7"/>
    </row>
    <row r="177" ht="33.75" customHeight="1">
      <c r="A177" s="11"/>
      <c r="B177" s="11"/>
      <c r="C177" s="11"/>
      <c r="D177" s="11"/>
      <c r="E177" s="11"/>
      <c r="F177" s="11"/>
      <c r="G177" s="7"/>
      <c r="H177" s="7"/>
      <c r="I177" s="7"/>
      <c r="J177" s="7"/>
      <c r="K177" s="7"/>
      <c r="L177" s="7"/>
      <c r="M177" s="7"/>
      <c r="N177" s="7"/>
      <c r="O177" s="7"/>
      <c r="P177" s="7"/>
      <c r="Q177" s="7"/>
      <c r="R177" s="7"/>
      <c r="S177" s="7"/>
      <c r="T177" s="7"/>
      <c r="U177" s="7"/>
      <c r="V177" s="7"/>
      <c r="W177" s="7"/>
      <c r="X177" s="7"/>
      <c r="Y177" s="7"/>
      <c r="Z177" s="7"/>
    </row>
    <row r="178" ht="33.75" customHeight="1">
      <c r="A178" s="11"/>
      <c r="B178" s="11"/>
      <c r="C178" s="11"/>
      <c r="D178" s="11"/>
      <c r="E178" s="11"/>
      <c r="F178" s="11"/>
      <c r="G178" s="7"/>
      <c r="H178" s="7"/>
      <c r="I178" s="7"/>
      <c r="J178" s="7"/>
      <c r="K178" s="7"/>
      <c r="L178" s="7"/>
      <c r="M178" s="7"/>
      <c r="N178" s="7"/>
      <c r="O178" s="7"/>
      <c r="P178" s="7"/>
      <c r="Q178" s="7"/>
      <c r="R178" s="7"/>
      <c r="S178" s="7"/>
      <c r="T178" s="7"/>
      <c r="U178" s="7"/>
      <c r="V178" s="7"/>
      <c r="W178" s="7"/>
      <c r="X178" s="7"/>
      <c r="Y178" s="7"/>
      <c r="Z178" s="7"/>
    </row>
    <row r="179" ht="33.75" customHeight="1">
      <c r="A179" s="11"/>
      <c r="B179" s="11"/>
      <c r="C179" s="11"/>
      <c r="D179" s="11"/>
      <c r="E179" s="11"/>
      <c r="F179" s="11"/>
      <c r="G179" s="7"/>
      <c r="H179" s="7"/>
      <c r="I179" s="7"/>
      <c r="J179" s="7"/>
      <c r="K179" s="7"/>
      <c r="L179" s="7"/>
      <c r="M179" s="7"/>
      <c r="N179" s="7"/>
      <c r="O179" s="7"/>
      <c r="P179" s="7"/>
      <c r="Q179" s="7"/>
      <c r="R179" s="7"/>
      <c r="S179" s="7"/>
      <c r="T179" s="7"/>
      <c r="U179" s="7"/>
      <c r="V179" s="7"/>
      <c r="W179" s="7"/>
      <c r="X179" s="7"/>
      <c r="Y179" s="7"/>
      <c r="Z179" s="7"/>
    </row>
    <row r="180" ht="33.75" customHeight="1">
      <c r="A180" s="11"/>
      <c r="B180" s="11"/>
      <c r="C180" s="11"/>
      <c r="D180" s="11"/>
      <c r="E180" s="11"/>
      <c r="F180" s="11"/>
      <c r="G180" s="7"/>
      <c r="H180" s="7"/>
      <c r="I180" s="7"/>
      <c r="J180" s="7"/>
      <c r="K180" s="7"/>
      <c r="L180" s="7"/>
      <c r="M180" s="7"/>
      <c r="N180" s="7"/>
      <c r="O180" s="7"/>
      <c r="P180" s="7"/>
      <c r="Q180" s="7"/>
      <c r="R180" s="7"/>
      <c r="S180" s="7"/>
      <c r="T180" s="7"/>
      <c r="U180" s="7"/>
      <c r="V180" s="7"/>
      <c r="W180" s="7"/>
      <c r="X180" s="7"/>
      <c r="Y180" s="7"/>
      <c r="Z180" s="7"/>
    </row>
    <row r="181" ht="33.75" customHeight="1">
      <c r="A181" s="11"/>
      <c r="B181" s="11"/>
      <c r="C181" s="11"/>
      <c r="D181" s="11"/>
      <c r="E181" s="11"/>
      <c r="F181" s="11"/>
      <c r="G181" s="7"/>
      <c r="H181" s="7"/>
      <c r="I181" s="7"/>
      <c r="J181" s="7"/>
      <c r="K181" s="7"/>
      <c r="L181" s="7"/>
      <c r="M181" s="7"/>
      <c r="N181" s="7"/>
      <c r="O181" s="7"/>
      <c r="P181" s="7"/>
      <c r="Q181" s="7"/>
      <c r="R181" s="7"/>
      <c r="S181" s="7"/>
      <c r="T181" s="7"/>
      <c r="U181" s="7"/>
      <c r="V181" s="7"/>
      <c r="W181" s="7"/>
      <c r="X181" s="7"/>
      <c r="Y181" s="7"/>
      <c r="Z181" s="7"/>
    </row>
    <row r="182" ht="33.75" customHeight="1">
      <c r="A182" s="11"/>
      <c r="B182" s="11"/>
      <c r="C182" s="11"/>
      <c r="D182" s="11"/>
      <c r="E182" s="11"/>
      <c r="F182" s="11"/>
      <c r="G182" s="7"/>
      <c r="H182" s="7"/>
      <c r="I182" s="7"/>
      <c r="J182" s="7"/>
      <c r="K182" s="7"/>
      <c r="L182" s="7"/>
      <c r="M182" s="7"/>
      <c r="N182" s="7"/>
      <c r="O182" s="7"/>
      <c r="P182" s="7"/>
      <c r="Q182" s="7"/>
      <c r="R182" s="7"/>
      <c r="S182" s="7"/>
      <c r="T182" s="7"/>
      <c r="U182" s="7"/>
      <c r="V182" s="7"/>
      <c r="W182" s="7"/>
      <c r="X182" s="7"/>
      <c r="Y182" s="7"/>
      <c r="Z182" s="7"/>
    </row>
    <row r="183" ht="33.75" customHeight="1">
      <c r="A183" s="11"/>
      <c r="B183" s="11"/>
      <c r="C183" s="11"/>
      <c r="D183" s="11"/>
      <c r="E183" s="11"/>
      <c r="F183" s="11"/>
      <c r="G183" s="7"/>
      <c r="H183" s="7"/>
      <c r="I183" s="7"/>
      <c r="J183" s="7"/>
      <c r="K183" s="7"/>
      <c r="L183" s="7"/>
      <c r="M183" s="7"/>
      <c r="N183" s="7"/>
      <c r="O183" s="7"/>
      <c r="P183" s="7"/>
      <c r="Q183" s="7"/>
      <c r="R183" s="7"/>
      <c r="S183" s="7"/>
      <c r="T183" s="7"/>
      <c r="U183" s="7"/>
      <c r="V183" s="7"/>
      <c r="W183" s="7"/>
      <c r="X183" s="7"/>
      <c r="Y183" s="7"/>
      <c r="Z183" s="7"/>
    </row>
    <row r="184" ht="33.75" customHeight="1">
      <c r="A184" s="11"/>
      <c r="B184" s="11"/>
      <c r="C184" s="11"/>
      <c r="D184" s="11"/>
      <c r="E184" s="11"/>
      <c r="F184" s="11"/>
      <c r="G184" s="7"/>
      <c r="H184" s="7"/>
      <c r="I184" s="7"/>
      <c r="J184" s="7"/>
      <c r="K184" s="7"/>
      <c r="L184" s="7"/>
      <c r="M184" s="7"/>
      <c r="N184" s="7"/>
      <c r="O184" s="7"/>
      <c r="P184" s="7"/>
      <c r="Q184" s="7"/>
      <c r="R184" s="7"/>
      <c r="S184" s="7"/>
      <c r="T184" s="7"/>
      <c r="U184" s="7"/>
      <c r="V184" s="7"/>
      <c r="W184" s="7"/>
      <c r="X184" s="7"/>
      <c r="Y184" s="7"/>
      <c r="Z184" s="7"/>
    </row>
    <row r="185" ht="33.75" customHeight="1">
      <c r="A185" s="11"/>
      <c r="B185" s="11"/>
      <c r="C185" s="11"/>
      <c r="D185" s="11"/>
      <c r="E185" s="11"/>
      <c r="F185" s="11"/>
      <c r="G185" s="7"/>
      <c r="H185" s="7"/>
      <c r="I185" s="7"/>
      <c r="J185" s="7"/>
      <c r="K185" s="7"/>
      <c r="L185" s="7"/>
      <c r="M185" s="7"/>
      <c r="N185" s="7"/>
      <c r="O185" s="7"/>
      <c r="P185" s="7"/>
      <c r="Q185" s="7"/>
      <c r="R185" s="7"/>
      <c r="S185" s="7"/>
      <c r="T185" s="7"/>
      <c r="U185" s="7"/>
      <c r="V185" s="7"/>
      <c r="W185" s="7"/>
      <c r="X185" s="7"/>
      <c r="Y185" s="7"/>
      <c r="Z185" s="7"/>
    </row>
    <row r="186" ht="33.75" customHeight="1">
      <c r="A186" s="11"/>
      <c r="B186" s="11"/>
      <c r="C186" s="11"/>
      <c r="D186" s="11"/>
      <c r="E186" s="11"/>
      <c r="F186" s="11"/>
      <c r="G186" s="7"/>
      <c r="H186" s="7"/>
      <c r="I186" s="7"/>
      <c r="J186" s="7"/>
      <c r="K186" s="7"/>
      <c r="L186" s="7"/>
      <c r="M186" s="7"/>
      <c r="N186" s="7"/>
      <c r="O186" s="7"/>
      <c r="P186" s="7"/>
      <c r="Q186" s="7"/>
      <c r="R186" s="7"/>
      <c r="S186" s="7"/>
      <c r="T186" s="7"/>
      <c r="U186" s="7"/>
      <c r="V186" s="7"/>
      <c r="W186" s="7"/>
      <c r="X186" s="7"/>
      <c r="Y186" s="7"/>
      <c r="Z186" s="7"/>
    </row>
    <row r="187" ht="33.75" customHeight="1">
      <c r="A187" s="11"/>
      <c r="B187" s="11"/>
      <c r="C187" s="11"/>
      <c r="D187" s="11"/>
      <c r="E187" s="11"/>
      <c r="F187" s="11"/>
      <c r="G187" s="7"/>
      <c r="H187" s="7"/>
      <c r="I187" s="7"/>
      <c r="J187" s="7"/>
      <c r="K187" s="7"/>
      <c r="L187" s="7"/>
      <c r="M187" s="7"/>
      <c r="N187" s="7"/>
      <c r="O187" s="7"/>
      <c r="P187" s="7"/>
      <c r="Q187" s="7"/>
      <c r="R187" s="7"/>
      <c r="S187" s="7"/>
      <c r="T187" s="7"/>
      <c r="U187" s="7"/>
      <c r="V187" s="7"/>
      <c r="W187" s="7"/>
      <c r="X187" s="7"/>
      <c r="Y187" s="7"/>
      <c r="Z187" s="7"/>
    </row>
    <row r="188" ht="33.75" customHeight="1">
      <c r="A188" s="11"/>
      <c r="B188" s="11"/>
      <c r="C188" s="11"/>
      <c r="D188" s="11"/>
      <c r="E188" s="11"/>
      <c r="F188" s="11"/>
      <c r="G188" s="7"/>
      <c r="H188" s="7"/>
      <c r="I188" s="7"/>
      <c r="J188" s="7"/>
      <c r="K188" s="7"/>
      <c r="L188" s="7"/>
      <c r="M188" s="7"/>
      <c r="N188" s="7"/>
      <c r="O188" s="7"/>
      <c r="P188" s="7"/>
      <c r="Q188" s="7"/>
      <c r="R188" s="7"/>
      <c r="S188" s="7"/>
      <c r="T188" s="7"/>
      <c r="U188" s="7"/>
      <c r="V188" s="7"/>
      <c r="W188" s="7"/>
      <c r="X188" s="7"/>
      <c r="Y188" s="7"/>
      <c r="Z188" s="7"/>
    </row>
    <row r="189" ht="33.75" customHeight="1">
      <c r="A189" s="11"/>
      <c r="B189" s="11"/>
      <c r="C189" s="11"/>
      <c r="D189" s="11"/>
      <c r="E189" s="11"/>
      <c r="F189" s="11"/>
      <c r="G189" s="7"/>
      <c r="H189" s="7"/>
      <c r="I189" s="7"/>
      <c r="J189" s="7"/>
      <c r="K189" s="7"/>
      <c r="L189" s="7"/>
      <c r="M189" s="7"/>
      <c r="N189" s="7"/>
      <c r="O189" s="7"/>
      <c r="P189" s="7"/>
      <c r="Q189" s="7"/>
      <c r="R189" s="7"/>
      <c r="S189" s="7"/>
      <c r="T189" s="7"/>
      <c r="U189" s="7"/>
      <c r="V189" s="7"/>
      <c r="W189" s="7"/>
      <c r="X189" s="7"/>
      <c r="Y189" s="7"/>
      <c r="Z189" s="7"/>
    </row>
    <row r="190" ht="33.75" customHeight="1">
      <c r="A190" s="11"/>
      <c r="B190" s="11"/>
      <c r="C190" s="11"/>
      <c r="D190" s="11"/>
      <c r="E190" s="11"/>
      <c r="F190" s="11"/>
      <c r="G190" s="7"/>
      <c r="H190" s="7"/>
      <c r="I190" s="7"/>
      <c r="J190" s="7"/>
      <c r="K190" s="7"/>
      <c r="L190" s="7"/>
      <c r="M190" s="7"/>
      <c r="N190" s="7"/>
      <c r="O190" s="7"/>
      <c r="P190" s="7"/>
      <c r="Q190" s="7"/>
      <c r="R190" s="7"/>
      <c r="S190" s="7"/>
      <c r="T190" s="7"/>
      <c r="U190" s="7"/>
      <c r="V190" s="7"/>
      <c r="W190" s="7"/>
      <c r="X190" s="7"/>
      <c r="Y190" s="7"/>
      <c r="Z190" s="7"/>
    </row>
    <row r="191" ht="33.75" customHeight="1">
      <c r="A191" s="11"/>
      <c r="B191" s="11"/>
      <c r="C191" s="11"/>
      <c r="D191" s="11"/>
      <c r="E191" s="11"/>
      <c r="F191" s="11"/>
      <c r="G191" s="7"/>
      <c r="H191" s="7"/>
      <c r="I191" s="7"/>
      <c r="J191" s="7"/>
      <c r="K191" s="7"/>
      <c r="L191" s="7"/>
      <c r="M191" s="7"/>
      <c r="N191" s="7"/>
      <c r="O191" s="7"/>
      <c r="P191" s="7"/>
      <c r="Q191" s="7"/>
      <c r="R191" s="7"/>
      <c r="S191" s="7"/>
      <c r="T191" s="7"/>
      <c r="U191" s="7"/>
      <c r="V191" s="7"/>
      <c r="W191" s="7"/>
      <c r="X191" s="7"/>
      <c r="Y191" s="7"/>
      <c r="Z191" s="7"/>
    </row>
    <row r="192" ht="33.75" customHeight="1">
      <c r="A192" s="11"/>
      <c r="B192" s="11"/>
      <c r="C192" s="11"/>
      <c r="D192" s="11"/>
      <c r="E192" s="11"/>
      <c r="F192" s="11"/>
      <c r="G192" s="7"/>
      <c r="H192" s="7"/>
      <c r="I192" s="7"/>
      <c r="J192" s="7"/>
      <c r="K192" s="7"/>
      <c r="L192" s="7"/>
      <c r="M192" s="7"/>
      <c r="N192" s="7"/>
      <c r="O192" s="7"/>
      <c r="P192" s="7"/>
      <c r="Q192" s="7"/>
      <c r="R192" s="7"/>
      <c r="S192" s="7"/>
      <c r="T192" s="7"/>
      <c r="U192" s="7"/>
      <c r="V192" s="7"/>
      <c r="W192" s="7"/>
      <c r="X192" s="7"/>
      <c r="Y192" s="7"/>
      <c r="Z192" s="7"/>
    </row>
    <row r="193" ht="33.75" customHeight="1">
      <c r="A193" s="11"/>
      <c r="B193" s="11"/>
      <c r="C193" s="11"/>
      <c r="D193" s="11"/>
      <c r="E193" s="11"/>
      <c r="F193" s="11"/>
      <c r="G193" s="7"/>
      <c r="H193" s="7"/>
      <c r="I193" s="7"/>
      <c r="J193" s="7"/>
      <c r="K193" s="7"/>
      <c r="L193" s="7"/>
      <c r="M193" s="7"/>
      <c r="N193" s="7"/>
      <c r="O193" s="7"/>
      <c r="P193" s="7"/>
      <c r="Q193" s="7"/>
      <c r="R193" s="7"/>
      <c r="S193" s="7"/>
      <c r="T193" s="7"/>
      <c r="U193" s="7"/>
      <c r="V193" s="7"/>
      <c r="W193" s="7"/>
      <c r="X193" s="7"/>
      <c r="Y193" s="7"/>
      <c r="Z193" s="7"/>
    </row>
    <row r="194" ht="33.75" customHeight="1">
      <c r="A194" s="11"/>
      <c r="B194" s="11"/>
      <c r="C194" s="11"/>
      <c r="D194" s="11"/>
      <c r="E194" s="11"/>
      <c r="F194" s="11"/>
      <c r="G194" s="7"/>
      <c r="H194" s="7"/>
      <c r="I194" s="7"/>
      <c r="J194" s="7"/>
      <c r="K194" s="7"/>
      <c r="L194" s="7"/>
      <c r="M194" s="7"/>
      <c r="N194" s="7"/>
      <c r="O194" s="7"/>
      <c r="P194" s="7"/>
      <c r="Q194" s="7"/>
      <c r="R194" s="7"/>
      <c r="S194" s="7"/>
      <c r="T194" s="7"/>
      <c r="U194" s="7"/>
      <c r="V194" s="7"/>
      <c r="W194" s="7"/>
      <c r="X194" s="7"/>
      <c r="Y194" s="7"/>
      <c r="Z194" s="7"/>
    </row>
    <row r="195" ht="33.75" customHeight="1">
      <c r="A195" s="11"/>
      <c r="B195" s="11"/>
      <c r="C195" s="11"/>
      <c r="D195" s="11"/>
      <c r="E195" s="11"/>
      <c r="F195" s="11"/>
      <c r="G195" s="7"/>
      <c r="H195" s="7"/>
      <c r="I195" s="7"/>
      <c r="J195" s="7"/>
      <c r="K195" s="7"/>
      <c r="L195" s="7"/>
      <c r="M195" s="7"/>
      <c r="N195" s="7"/>
      <c r="O195" s="7"/>
      <c r="P195" s="7"/>
      <c r="Q195" s="7"/>
      <c r="R195" s="7"/>
      <c r="S195" s="7"/>
      <c r="T195" s="7"/>
      <c r="U195" s="7"/>
      <c r="V195" s="7"/>
      <c r="W195" s="7"/>
      <c r="X195" s="7"/>
      <c r="Y195" s="7"/>
      <c r="Z195" s="7"/>
    </row>
    <row r="196" ht="33.75" customHeight="1">
      <c r="A196" s="11"/>
      <c r="B196" s="11"/>
      <c r="C196" s="11"/>
      <c r="D196" s="11"/>
      <c r="E196" s="11"/>
      <c r="F196" s="11"/>
      <c r="G196" s="7"/>
      <c r="H196" s="7"/>
      <c r="I196" s="7"/>
      <c r="J196" s="7"/>
      <c r="K196" s="7"/>
      <c r="L196" s="7"/>
      <c r="M196" s="7"/>
      <c r="N196" s="7"/>
      <c r="O196" s="7"/>
      <c r="P196" s="7"/>
      <c r="Q196" s="7"/>
      <c r="R196" s="7"/>
      <c r="S196" s="7"/>
      <c r="T196" s="7"/>
      <c r="U196" s="7"/>
      <c r="V196" s="7"/>
      <c r="W196" s="7"/>
      <c r="X196" s="7"/>
      <c r="Y196" s="7"/>
      <c r="Z196" s="7"/>
    </row>
    <row r="197" ht="33.75" customHeight="1">
      <c r="A197" s="11"/>
      <c r="B197" s="11"/>
      <c r="C197" s="11"/>
      <c r="D197" s="11"/>
      <c r="E197" s="11"/>
      <c r="F197" s="11"/>
      <c r="G197" s="7"/>
      <c r="H197" s="7"/>
      <c r="I197" s="7"/>
      <c r="J197" s="7"/>
      <c r="K197" s="7"/>
      <c r="L197" s="7"/>
      <c r="M197" s="7"/>
      <c r="N197" s="7"/>
      <c r="O197" s="7"/>
      <c r="P197" s="7"/>
      <c r="Q197" s="7"/>
      <c r="R197" s="7"/>
      <c r="S197" s="7"/>
      <c r="T197" s="7"/>
      <c r="U197" s="7"/>
      <c r="V197" s="7"/>
      <c r="W197" s="7"/>
      <c r="X197" s="7"/>
      <c r="Y197" s="7"/>
      <c r="Z197" s="7"/>
    </row>
    <row r="198" ht="33.75" customHeight="1">
      <c r="A198" s="11"/>
      <c r="B198" s="11"/>
      <c r="C198" s="11"/>
      <c r="D198" s="11"/>
      <c r="E198" s="11"/>
      <c r="F198" s="11"/>
      <c r="G198" s="7"/>
      <c r="H198" s="7"/>
      <c r="I198" s="7"/>
      <c r="J198" s="7"/>
      <c r="K198" s="7"/>
      <c r="L198" s="7"/>
      <c r="M198" s="7"/>
      <c r="N198" s="7"/>
      <c r="O198" s="7"/>
      <c r="P198" s="7"/>
      <c r="Q198" s="7"/>
      <c r="R198" s="7"/>
      <c r="S198" s="7"/>
      <c r="T198" s="7"/>
      <c r="U198" s="7"/>
      <c r="V198" s="7"/>
      <c r="W198" s="7"/>
      <c r="X198" s="7"/>
      <c r="Y198" s="7"/>
      <c r="Z198" s="7"/>
    </row>
    <row r="199" ht="33.75" customHeight="1">
      <c r="A199" s="11"/>
      <c r="B199" s="11"/>
      <c r="C199" s="11"/>
      <c r="D199" s="11"/>
      <c r="E199" s="11"/>
      <c r="F199" s="11"/>
      <c r="G199" s="7"/>
      <c r="H199" s="7"/>
      <c r="I199" s="7"/>
      <c r="J199" s="7"/>
      <c r="K199" s="7"/>
      <c r="L199" s="7"/>
      <c r="M199" s="7"/>
      <c r="N199" s="7"/>
      <c r="O199" s="7"/>
      <c r="P199" s="7"/>
      <c r="Q199" s="7"/>
      <c r="R199" s="7"/>
      <c r="S199" s="7"/>
      <c r="T199" s="7"/>
      <c r="U199" s="7"/>
      <c r="V199" s="7"/>
      <c r="W199" s="7"/>
      <c r="X199" s="7"/>
      <c r="Y199" s="7"/>
      <c r="Z199" s="7"/>
    </row>
    <row r="200" ht="33.75" customHeight="1">
      <c r="A200" s="11"/>
      <c r="B200" s="11"/>
      <c r="C200" s="11"/>
      <c r="D200" s="11"/>
      <c r="E200" s="11"/>
      <c r="F200" s="11"/>
      <c r="G200" s="7"/>
      <c r="H200" s="7"/>
      <c r="I200" s="7"/>
      <c r="J200" s="7"/>
      <c r="K200" s="7"/>
      <c r="L200" s="7"/>
      <c r="M200" s="7"/>
      <c r="N200" s="7"/>
      <c r="O200" s="7"/>
      <c r="P200" s="7"/>
      <c r="Q200" s="7"/>
      <c r="R200" s="7"/>
      <c r="S200" s="7"/>
      <c r="T200" s="7"/>
      <c r="U200" s="7"/>
      <c r="V200" s="7"/>
      <c r="W200" s="7"/>
      <c r="X200" s="7"/>
      <c r="Y200" s="7"/>
      <c r="Z200" s="7"/>
    </row>
    <row r="201" ht="33.75" customHeight="1">
      <c r="A201" s="11"/>
      <c r="B201" s="11"/>
      <c r="C201" s="11"/>
      <c r="D201" s="11"/>
      <c r="E201" s="11"/>
      <c r="F201" s="11"/>
      <c r="G201" s="7"/>
      <c r="H201" s="7"/>
      <c r="I201" s="7"/>
      <c r="J201" s="7"/>
      <c r="K201" s="7"/>
      <c r="L201" s="7"/>
      <c r="M201" s="7"/>
      <c r="N201" s="7"/>
      <c r="O201" s="7"/>
      <c r="P201" s="7"/>
      <c r="Q201" s="7"/>
      <c r="R201" s="7"/>
      <c r="S201" s="7"/>
      <c r="T201" s="7"/>
      <c r="U201" s="7"/>
      <c r="V201" s="7"/>
      <c r="W201" s="7"/>
      <c r="X201" s="7"/>
      <c r="Y201" s="7"/>
      <c r="Z201" s="7"/>
    </row>
    <row r="202" ht="33.75" customHeight="1">
      <c r="A202" s="11"/>
      <c r="B202" s="11"/>
      <c r="C202" s="11"/>
      <c r="D202" s="11"/>
      <c r="E202" s="11"/>
      <c r="F202" s="11"/>
      <c r="G202" s="7"/>
      <c r="H202" s="7"/>
      <c r="I202" s="7"/>
      <c r="J202" s="7"/>
      <c r="K202" s="7"/>
      <c r="L202" s="7"/>
      <c r="M202" s="7"/>
      <c r="N202" s="7"/>
      <c r="O202" s="7"/>
      <c r="P202" s="7"/>
      <c r="Q202" s="7"/>
      <c r="R202" s="7"/>
      <c r="S202" s="7"/>
      <c r="T202" s="7"/>
      <c r="U202" s="7"/>
      <c r="V202" s="7"/>
      <c r="W202" s="7"/>
      <c r="X202" s="7"/>
      <c r="Y202" s="7"/>
      <c r="Z202" s="7"/>
    </row>
    <row r="203" ht="33.75" customHeight="1">
      <c r="A203" s="11"/>
      <c r="B203" s="11"/>
      <c r="C203" s="11"/>
      <c r="D203" s="11"/>
      <c r="E203" s="11"/>
      <c r="F203" s="11"/>
      <c r="G203" s="7"/>
      <c r="H203" s="7"/>
      <c r="I203" s="7"/>
      <c r="J203" s="7"/>
      <c r="K203" s="7"/>
      <c r="L203" s="7"/>
      <c r="M203" s="7"/>
      <c r="N203" s="7"/>
      <c r="O203" s="7"/>
      <c r="P203" s="7"/>
      <c r="Q203" s="7"/>
      <c r="R203" s="7"/>
      <c r="S203" s="7"/>
      <c r="T203" s="7"/>
      <c r="U203" s="7"/>
      <c r="V203" s="7"/>
      <c r="W203" s="7"/>
      <c r="X203" s="7"/>
      <c r="Y203" s="7"/>
      <c r="Z203" s="7"/>
    </row>
    <row r="204" ht="33.75" customHeight="1">
      <c r="A204" s="11"/>
      <c r="B204" s="11"/>
      <c r="C204" s="11"/>
      <c r="D204" s="11"/>
      <c r="E204" s="11"/>
      <c r="F204" s="11"/>
      <c r="G204" s="7"/>
      <c r="H204" s="7"/>
      <c r="I204" s="7"/>
      <c r="J204" s="7"/>
      <c r="K204" s="7"/>
      <c r="L204" s="7"/>
      <c r="M204" s="7"/>
      <c r="N204" s="7"/>
      <c r="O204" s="7"/>
      <c r="P204" s="7"/>
      <c r="Q204" s="7"/>
      <c r="R204" s="7"/>
      <c r="S204" s="7"/>
      <c r="T204" s="7"/>
      <c r="U204" s="7"/>
      <c r="V204" s="7"/>
      <c r="W204" s="7"/>
      <c r="X204" s="7"/>
      <c r="Y204" s="7"/>
      <c r="Z204" s="7"/>
    </row>
    <row r="205" ht="33.75" customHeight="1">
      <c r="A205" s="11"/>
      <c r="B205" s="11"/>
      <c r="C205" s="11"/>
      <c r="D205" s="11"/>
      <c r="E205" s="11"/>
      <c r="F205" s="11"/>
      <c r="G205" s="7"/>
      <c r="H205" s="7"/>
      <c r="I205" s="7"/>
      <c r="J205" s="7"/>
      <c r="K205" s="7"/>
      <c r="L205" s="7"/>
      <c r="M205" s="7"/>
      <c r="N205" s="7"/>
      <c r="O205" s="7"/>
      <c r="P205" s="7"/>
      <c r="Q205" s="7"/>
      <c r="R205" s="7"/>
      <c r="S205" s="7"/>
      <c r="T205" s="7"/>
      <c r="U205" s="7"/>
      <c r="V205" s="7"/>
      <c r="W205" s="7"/>
      <c r="X205" s="7"/>
      <c r="Y205" s="7"/>
      <c r="Z205" s="7"/>
    </row>
    <row r="206" ht="33.75" customHeight="1">
      <c r="A206" s="11"/>
      <c r="B206" s="11"/>
      <c r="C206" s="11"/>
      <c r="D206" s="11"/>
      <c r="E206" s="11"/>
      <c r="F206" s="11"/>
      <c r="G206" s="7"/>
      <c r="H206" s="7"/>
      <c r="I206" s="7"/>
      <c r="J206" s="7"/>
      <c r="K206" s="7"/>
      <c r="L206" s="7"/>
      <c r="M206" s="7"/>
      <c r="N206" s="7"/>
      <c r="O206" s="7"/>
      <c r="P206" s="7"/>
      <c r="Q206" s="7"/>
      <c r="R206" s="7"/>
      <c r="S206" s="7"/>
      <c r="T206" s="7"/>
      <c r="U206" s="7"/>
      <c r="V206" s="7"/>
      <c r="W206" s="7"/>
      <c r="X206" s="7"/>
      <c r="Y206" s="7"/>
      <c r="Z206" s="7"/>
    </row>
    <row r="207" ht="33.75" customHeight="1">
      <c r="A207" s="11"/>
      <c r="B207" s="11"/>
      <c r="C207" s="11"/>
      <c r="D207" s="11"/>
      <c r="E207" s="11"/>
      <c r="F207" s="11"/>
      <c r="G207" s="7"/>
      <c r="H207" s="7"/>
      <c r="I207" s="7"/>
      <c r="J207" s="7"/>
      <c r="K207" s="7"/>
      <c r="L207" s="7"/>
      <c r="M207" s="7"/>
      <c r="N207" s="7"/>
      <c r="O207" s="7"/>
      <c r="P207" s="7"/>
      <c r="Q207" s="7"/>
      <c r="R207" s="7"/>
      <c r="S207" s="7"/>
      <c r="T207" s="7"/>
      <c r="U207" s="7"/>
      <c r="V207" s="7"/>
      <c r="W207" s="7"/>
      <c r="X207" s="7"/>
      <c r="Y207" s="7"/>
      <c r="Z207" s="7"/>
    </row>
    <row r="208" ht="33.75" customHeight="1">
      <c r="A208" s="11"/>
      <c r="B208" s="11"/>
      <c r="C208" s="11"/>
      <c r="D208" s="11"/>
      <c r="E208" s="11"/>
      <c r="F208" s="11"/>
      <c r="G208" s="7"/>
      <c r="H208" s="7"/>
      <c r="I208" s="7"/>
      <c r="J208" s="7"/>
      <c r="K208" s="7"/>
      <c r="L208" s="7"/>
      <c r="M208" s="7"/>
      <c r="N208" s="7"/>
      <c r="O208" s="7"/>
      <c r="P208" s="7"/>
      <c r="Q208" s="7"/>
      <c r="R208" s="7"/>
      <c r="S208" s="7"/>
      <c r="T208" s="7"/>
      <c r="U208" s="7"/>
      <c r="V208" s="7"/>
      <c r="W208" s="7"/>
      <c r="X208" s="7"/>
      <c r="Y208" s="7"/>
      <c r="Z208" s="7"/>
    </row>
    <row r="209" ht="33.75" customHeight="1">
      <c r="A209" s="11"/>
      <c r="B209" s="11"/>
      <c r="C209" s="11"/>
      <c r="D209" s="11"/>
      <c r="E209" s="11"/>
      <c r="F209" s="11"/>
      <c r="G209" s="7"/>
      <c r="H209" s="7"/>
      <c r="I209" s="7"/>
      <c r="J209" s="7"/>
      <c r="K209" s="7"/>
      <c r="L209" s="7"/>
      <c r="M209" s="7"/>
      <c r="N209" s="7"/>
      <c r="O209" s="7"/>
      <c r="P209" s="7"/>
      <c r="Q209" s="7"/>
      <c r="R209" s="7"/>
      <c r="S209" s="7"/>
      <c r="T209" s="7"/>
      <c r="U209" s="7"/>
      <c r="V209" s="7"/>
      <c r="W209" s="7"/>
      <c r="X209" s="7"/>
      <c r="Y209" s="7"/>
      <c r="Z209" s="7"/>
    </row>
    <row r="210" ht="33.75" customHeight="1">
      <c r="A210" s="11"/>
      <c r="B210" s="11"/>
      <c r="C210" s="11"/>
      <c r="D210" s="11"/>
      <c r="E210" s="11"/>
      <c r="F210" s="11"/>
      <c r="G210" s="7"/>
      <c r="H210" s="7"/>
      <c r="I210" s="7"/>
      <c r="J210" s="7"/>
      <c r="K210" s="7"/>
      <c r="L210" s="7"/>
      <c r="M210" s="7"/>
      <c r="N210" s="7"/>
      <c r="O210" s="7"/>
      <c r="P210" s="7"/>
      <c r="Q210" s="7"/>
      <c r="R210" s="7"/>
      <c r="S210" s="7"/>
      <c r="T210" s="7"/>
      <c r="U210" s="7"/>
      <c r="V210" s="7"/>
      <c r="W210" s="7"/>
      <c r="X210" s="7"/>
      <c r="Y210" s="7"/>
      <c r="Z210" s="7"/>
    </row>
    <row r="211" ht="33.75" customHeight="1">
      <c r="A211" s="11"/>
      <c r="B211" s="11"/>
      <c r="C211" s="11"/>
      <c r="D211" s="11"/>
      <c r="E211" s="11"/>
      <c r="F211" s="11"/>
      <c r="G211" s="7"/>
      <c r="H211" s="7"/>
      <c r="I211" s="7"/>
      <c r="J211" s="7"/>
      <c r="K211" s="7"/>
      <c r="L211" s="7"/>
      <c r="M211" s="7"/>
      <c r="N211" s="7"/>
      <c r="O211" s="7"/>
      <c r="P211" s="7"/>
      <c r="Q211" s="7"/>
      <c r="R211" s="7"/>
      <c r="S211" s="7"/>
      <c r="T211" s="7"/>
      <c r="U211" s="7"/>
      <c r="V211" s="7"/>
      <c r="W211" s="7"/>
      <c r="X211" s="7"/>
      <c r="Y211" s="7"/>
      <c r="Z211" s="7"/>
    </row>
    <row r="212" ht="33.75" customHeight="1">
      <c r="A212" s="11"/>
      <c r="B212" s="11"/>
      <c r="C212" s="11"/>
      <c r="D212" s="11"/>
      <c r="E212" s="11"/>
      <c r="F212" s="11"/>
      <c r="G212" s="7"/>
      <c r="H212" s="7"/>
      <c r="I212" s="7"/>
      <c r="J212" s="7"/>
      <c r="K212" s="7"/>
      <c r="L212" s="7"/>
      <c r="M212" s="7"/>
      <c r="N212" s="7"/>
      <c r="O212" s="7"/>
      <c r="P212" s="7"/>
      <c r="Q212" s="7"/>
      <c r="R212" s="7"/>
      <c r="S212" s="7"/>
      <c r="T212" s="7"/>
      <c r="U212" s="7"/>
      <c r="V212" s="7"/>
      <c r="W212" s="7"/>
      <c r="X212" s="7"/>
      <c r="Y212" s="7"/>
      <c r="Z212" s="7"/>
    </row>
    <row r="213" ht="33.75" customHeight="1">
      <c r="A213" s="11"/>
      <c r="B213" s="11"/>
      <c r="C213" s="11"/>
      <c r="D213" s="11"/>
      <c r="E213" s="11"/>
      <c r="F213" s="11"/>
      <c r="G213" s="7"/>
      <c r="H213" s="7"/>
      <c r="I213" s="7"/>
      <c r="J213" s="7"/>
      <c r="K213" s="7"/>
      <c r="L213" s="7"/>
      <c r="M213" s="7"/>
      <c r="N213" s="7"/>
      <c r="O213" s="7"/>
      <c r="P213" s="7"/>
      <c r="Q213" s="7"/>
      <c r="R213" s="7"/>
      <c r="S213" s="7"/>
      <c r="T213" s="7"/>
      <c r="U213" s="7"/>
      <c r="V213" s="7"/>
      <c r="W213" s="7"/>
      <c r="X213" s="7"/>
      <c r="Y213" s="7"/>
      <c r="Z213" s="7"/>
    </row>
    <row r="214" ht="33.75" customHeight="1">
      <c r="A214" s="11"/>
      <c r="B214" s="11"/>
      <c r="C214" s="11"/>
      <c r="D214" s="11"/>
      <c r="E214" s="11"/>
      <c r="F214" s="11"/>
      <c r="G214" s="7"/>
      <c r="H214" s="7"/>
      <c r="I214" s="7"/>
      <c r="J214" s="7"/>
      <c r="K214" s="7"/>
      <c r="L214" s="7"/>
      <c r="M214" s="7"/>
      <c r="N214" s="7"/>
      <c r="O214" s="7"/>
      <c r="P214" s="7"/>
      <c r="Q214" s="7"/>
      <c r="R214" s="7"/>
      <c r="S214" s="7"/>
      <c r="T214" s="7"/>
      <c r="U214" s="7"/>
      <c r="V214" s="7"/>
      <c r="W214" s="7"/>
      <c r="X214" s="7"/>
      <c r="Y214" s="7"/>
      <c r="Z214" s="7"/>
    </row>
    <row r="215" ht="33.75" customHeight="1">
      <c r="A215" s="11"/>
      <c r="B215" s="11"/>
      <c r="C215" s="11"/>
      <c r="D215" s="11"/>
      <c r="E215" s="11"/>
      <c r="F215" s="11"/>
      <c r="G215" s="7"/>
      <c r="H215" s="7"/>
      <c r="I215" s="7"/>
      <c r="J215" s="7"/>
      <c r="K215" s="7"/>
      <c r="L215" s="7"/>
      <c r="M215" s="7"/>
      <c r="N215" s="7"/>
      <c r="O215" s="7"/>
      <c r="P215" s="7"/>
      <c r="Q215" s="7"/>
      <c r="R215" s="7"/>
      <c r="S215" s="7"/>
      <c r="T215" s="7"/>
      <c r="U215" s="7"/>
      <c r="V215" s="7"/>
      <c r="W215" s="7"/>
      <c r="X215" s="7"/>
      <c r="Y215" s="7"/>
      <c r="Z215" s="7"/>
    </row>
    <row r="216" ht="33.75" customHeight="1">
      <c r="A216" s="11"/>
      <c r="B216" s="11"/>
      <c r="C216" s="11"/>
      <c r="D216" s="11"/>
      <c r="E216" s="11"/>
      <c r="F216" s="11"/>
      <c r="G216" s="7"/>
      <c r="H216" s="7"/>
      <c r="I216" s="7"/>
      <c r="J216" s="7"/>
      <c r="K216" s="7"/>
      <c r="L216" s="7"/>
      <c r="M216" s="7"/>
      <c r="N216" s="7"/>
      <c r="O216" s="7"/>
      <c r="P216" s="7"/>
      <c r="Q216" s="7"/>
      <c r="R216" s="7"/>
      <c r="S216" s="7"/>
      <c r="T216" s="7"/>
      <c r="U216" s="7"/>
      <c r="V216" s="7"/>
      <c r="W216" s="7"/>
      <c r="X216" s="7"/>
      <c r="Y216" s="7"/>
      <c r="Z216" s="7"/>
    </row>
    <row r="217" ht="33.75" customHeight="1">
      <c r="A217" s="11"/>
      <c r="B217" s="11"/>
      <c r="C217" s="11"/>
      <c r="D217" s="11"/>
      <c r="E217" s="11"/>
      <c r="F217" s="11"/>
      <c r="G217" s="7"/>
      <c r="H217" s="7"/>
      <c r="I217" s="7"/>
      <c r="J217" s="7"/>
      <c r="K217" s="7"/>
      <c r="L217" s="7"/>
      <c r="M217" s="7"/>
      <c r="N217" s="7"/>
      <c r="O217" s="7"/>
      <c r="P217" s="7"/>
      <c r="Q217" s="7"/>
      <c r="R217" s="7"/>
      <c r="S217" s="7"/>
      <c r="T217" s="7"/>
      <c r="U217" s="7"/>
      <c r="V217" s="7"/>
      <c r="W217" s="7"/>
      <c r="X217" s="7"/>
      <c r="Y217" s="7"/>
      <c r="Z217" s="7"/>
    </row>
    <row r="218" ht="33.75" customHeight="1">
      <c r="A218" s="11"/>
      <c r="B218" s="11"/>
      <c r="C218" s="11"/>
      <c r="D218" s="11"/>
      <c r="E218" s="11"/>
      <c r="F218" s="11"/>
      <c r="G218" s="7"/>
      <c r="H218" s="7"/>
      <c r="I218" s="7"/>
      <c r="J218" s="7"/>
      <c r="K218" s="7"/>
      <c r="L218" s="7"/>
      <c r="M218" s="7"/>
      <c r="N218" s="7"/>
      <c r="O218" s="7"/>
      <c r="P218" s="7"/>
      <c r="Q218" s="7"/>
      <c r="R218" s="7"/>
      <c r="S218" s="7"/>
      <c r="T218" s="7"/>
      <c r="U218" s="7"/>
      <c r="V218" s="7"/>
      <c r="W218" s="7"/>
      <c r="X218" s="7"/>
      <c r="Y218" s="7"/>
      <c r="Z218" s="7"/>
    </row>
    <row r="219" ht="33.75" customHeight="1">
      <c r="A219" s="11"/>
      <c r="B219" s="11"/>
      <c r="C219" s="11"/>
      <c r="D219" s="11"/>
      <c r="E219" s="11"/>
      <c r="F219" s="11"/>
      <c r="G219" s="7"/>
      <c r="H219" s="7"/>
      <c r="I219" s="7"/>
      <c r="J219" s="7"/>
      <c r="K219" s="7"/>
      <c r="L219" s="7"/>
      <c r="M219" s="7"/>
      <c r="N219" s="7"/>
      <c r="O219" s="7"/>
      <c r="P219" s="7"/>
      <c r="Q219" s="7"/>
      <c r="R219" s="7"/>
      <c r="S219" s="7"/>
      <c r="T219" s="7"/>
      <c r="U219" s="7"/>
      <c r="V219" s="7"/>
      <c r="W219" s="7"/>
      <c r="X219" s="7"/>
      <c r="Y219" s="7"/>
      <c r="Z219" s="7"/>
    </row>
    <row r="220" ht="33.75" customHeight="1">
      <c r="A220" s="11"/>
      <c r="B220" s="11"/>
      <c r="C220" s="11"/>
      <c r="D220" s="11"/>
      <c r="E220" s="11"/>
      <c r="F220" s="11"/>
      <c r="G220" s="7"/>
      <c r="H220" s="7"/>
      <c r="I220" s="7"/>
      <c r="J220" s="7"/>
      <c r="K220" s="7"/>
      <c r="L220" s="7"/>
      <c r="M220" s="7"/>
      <c r="N220" s="7"/>
      <c r="O220" s="7"/>
      <c r="P220" s="7"/>
      <c r="Q220" s="7"/>
      <c r="R220" s="7"/>
      <c r="S220" s="7"/>
      <c r="T220" s="7"/>
      <c r="U220" s="7"/>
      <c r="V220" s="7"/>
      <c r="W220" s="7"/>
      <c r="X220" s="7"/>
      <c r="Y220" s="7"/>
      <c r="Z220" s="7"/>
    </row>
    <row r="221" ht="13.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3.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3.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3.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3.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3.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3.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3.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3.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3.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3.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3.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3.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3.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3.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3.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3.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3.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3.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3.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3.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3.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3.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3.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3.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3.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3.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3.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3.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3.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3.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3.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3.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3.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3.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3.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3.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3.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3.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3.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3.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3.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3.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3.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3.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3.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3.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3.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3.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3.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3.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3.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3.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3.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3.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3.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3.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3.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3.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3.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3.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3.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3.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3.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3.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3.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3.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3.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3.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3.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3.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3.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3.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3.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3.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3.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3.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3.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3.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3.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3.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3.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3.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3.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3.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3.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3.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3.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3.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3.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3.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3.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3.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3.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3.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3.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3.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3.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3.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3.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3.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3.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3.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3.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3.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3.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3.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3.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3.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3.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3.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3.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3.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3.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3.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3.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3.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3.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3.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3.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3.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3.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3.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3.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3.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3.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3.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3.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3.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3.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3.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3.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3.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3.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3.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3.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3.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3.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3.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3.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3.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3.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3.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3.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3.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3.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3.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3.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3.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3.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3.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3.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3.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3.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3.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3.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3.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3.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3.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3.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3.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3.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3.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3.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3.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3.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3.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3.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3.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3.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3.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3.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3.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3.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3.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3.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3.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3.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3.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3.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3.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3.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3.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3.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3.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3.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3.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3.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3.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3.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3.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3.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3.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3.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3.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3.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3.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3.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3.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3.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3.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3.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3.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3.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3.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3.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3.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3.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3.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3.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3.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3.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3.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3.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3.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3.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3.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3.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3.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3.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3.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3.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3.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3.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3.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3.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3.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3.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3.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3.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3.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3.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3.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3.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3.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3.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3.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3.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3.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3.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3.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3.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3.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3.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3.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3.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3.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3.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3.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3.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3.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3.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3.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3.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3.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3.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3.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3.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3.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3.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3.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3.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3.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3.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3.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3.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3.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3.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3.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3.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3.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3.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3.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3.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3.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3.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3.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3.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3.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3.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3.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3.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3.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3.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3.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3.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3.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3.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3.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3.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3.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3.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3.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3.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3.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3.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3.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3.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3.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3.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3.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3.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3.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3.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3.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3.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3.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3.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3.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3.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3.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3.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3.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3.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3.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3.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3.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3.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3.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3.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3.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3.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3.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3.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3.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3.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3.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3.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3.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3.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3.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3.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3.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3.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3.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3.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3.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3.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3.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3.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3.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3.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3.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3.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3.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3.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3.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3.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3.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3.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3.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3.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3.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3.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3.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3.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3.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3.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3.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3.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3.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3.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3.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3.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3.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3.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3.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3.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3.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3.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3.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3.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3.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3.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3.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3.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3.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3.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3.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3.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3.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3.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3.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3.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3.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3.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3.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3.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3.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3.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3.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3.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3.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3.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3.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3.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3.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3.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3.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3.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3.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3.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3.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3.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3.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3.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3.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3.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3.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3.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3.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3.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3.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3.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3.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3.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3.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3.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3.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3.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3.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3.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3.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3.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3.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3.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3.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3.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3.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3.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3.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3.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3.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3.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3.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3.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3.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3.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3.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3.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3.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3.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3.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3.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3.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3.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3.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3.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3.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3.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3.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3.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3.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3.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3.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3.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3.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3.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3.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3.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3.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3.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3.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3.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3.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3.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3.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3.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3.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3.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3.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3.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3.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3.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3.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3.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3.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3.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3.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3.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3.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3.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3.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3.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3.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3.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3.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3.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3.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3.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3.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3.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3.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3.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3.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3.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3.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3.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3.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3.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3.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3.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3.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3.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3.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3.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3.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3.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3.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3.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3.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3.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3.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3.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3.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3.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3.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3.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3.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3.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3.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3.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3.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3.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3.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3.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3.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3.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3.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3.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3.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3.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3.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3.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3.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3.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3.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3.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3.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3.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3.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3.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3.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3.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3.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3.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3.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3.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3.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3.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3.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3.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3.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3.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3.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3.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3.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3.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3.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3.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3.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3.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3.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3.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3.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3.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3.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3.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3.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3.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3.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3.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3.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3.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3.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3.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3.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3.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3.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3.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3.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3.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3.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3.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3.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3.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3.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3.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3.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3.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3.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3.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3.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3.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3.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3.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3.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3.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3.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3.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3.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3.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3.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3.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3.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3.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3.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3.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3.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3.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3.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3.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3.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3.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3.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3.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3.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3.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3.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3.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3.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3.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3.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3.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3.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3.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3.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3.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3.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3.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3.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3.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3.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3.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3.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3.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3.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3.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3.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3.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3.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3.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3.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3.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3.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3.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3.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3.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3.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3.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3.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3.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3.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3.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3.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3.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3.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3.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3.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3.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3.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3.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3.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3.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3.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3.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3.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3.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3.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3.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3.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3.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3.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3.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3.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3.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3.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3.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3.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3.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3.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3.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3.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3.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3.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3.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3.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3.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3.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3.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3.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3.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3.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3.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3.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3.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3.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3.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3.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3.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3.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3.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3.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3.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3.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3.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3.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3.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3.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3.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3.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3.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3.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3.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3.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3.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3.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3.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3.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3.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3.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3.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3.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3.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3.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3.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3.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3.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3.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3.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3.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3.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3.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3.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3.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3.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3.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3.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3.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3.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3.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3.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3.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3.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3.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3.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3.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3.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3.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3.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3.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3.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3.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3.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3.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3.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3.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3.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3.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3.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3.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3.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3.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3.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3.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3.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3.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3.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3.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3.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3.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3.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3.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3.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3.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3.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3.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3.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3.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3.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
    <mergeCell ref="A1:F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14"/>
    <col customWidth="1" min="2" max="2" width="67.43"/>
    <col customWidth="1" min="3" max="3" width="16.57"/>
    <col customWidth="1" min="4" max="26" width="8.71"/>
  </cols>
  <sheetData>
    <row r="1" ht="25.5" customHeight="1">
      <c r="A1" s="3" t="s">
        <v>191</v>
      </c>
      <c r="B1" s="6"/>
      <c r="C1" s="8"/>
    </row>
    <row r="2" ht="25.5" customHeight="1">
      <c r="A2" s="9" t="s">
        <v>193</v>
      </c>
      <c r="B2" s="9" t="s">
        <v>194</v>
      </c>
      <c r="C2" s="9" t="s">
        <v>196</v>
      </c>
    </row>
    <row r="3" ht="31.5" customHeight="1">
      <c r="A3" s="33" t="s">
        <v>197</v>
      </c>
      <c r="B3" s="11" t="s">
        <v>199</v>
      </c>
      <c r="C3" s="11" t="s">
        <v>200</v>
      </c>
    </row>
    <row r="4" ht="31.5" customHeight="1">
      <c r="A4" s="33" t="s">
        <v>197</v>
      </c>
      <c r="B4" s="11" t="s">
        <v>202</v>
      </c>
      <c r="C4" s="11" t="s">
        <v>203</v>
      </c>
    </row>
    <row r="5" ht="31.5" customHeight="1">
      <c r="A5" s="33" t="s">
        <v>197</v>
      </c>
      <c r="B5" s="11" t="s">
        <v>206</v>
      </c>
      <c r="C5" s="11" t="s">
        <v>200</v>
      </c>
    </row>
    <row r="6" ht="31.5" customHeight="1">
      <c r="A6" s="33" t="s">
        <v>197</v>
      </c>
      <c r="B6" s="11" t="s">
        <v>209</v>
      </c>
      <c r="C6" s="11" t="s">
        <v>200</v>
      </c>
    </row>
    <row r="7" ht="31.5" customHeight="1">
      <c r="A7" s="33" t="s">
        <v>170</v>
      </c>
      <c r="B7" s="11" t="s">
        <v>212</v>
      </c>
      <c r="C7" s="11" t="s">
        <v>200</v>
      </c>
    </row>
    <row r="8" ht="31.5" customHeight="1">
      <c r="A8" s="33" t="s">
        <v>170</v>
      </c>
      <c r="B8" s="11" t="s">
        <v>214</v>
      </c>
      <c r="C8" s="11" t="s">
        <v>222</v>
      </c>
    </row>
    <row r="9" ht="31.5" customHeight="1">
      <c r="A9" s="33" t="s">
        <v>170</v>
      </c>
      <c r="B9" s="11" t="s">
        <v>225</v>
      </c>
      <c r="C9" s="11" t="s">
        <v>36</v>
      </c>
    </row>
    <row r="10" ht="31.5" customHeight="1">
      <c r="A10" s="33" t="s">
        <v>170</v>
      </c>
      <c r="B10" s="11" t="s">
        <v>227</v>
      </c>
      <c r="C10" s="11" t="s">
        <v>220</v>
      </c>
    </row>
    <row r="11" ht="31.5" customHeight="1">
      <c r="A11" s="33" t="s">
        <v>229</v>
      </c>
      <c r="B11" s="11" t="s">
        <v>230</v>
      </c>
      <c r="C11" s="11" t="s">
        <v>127</v>
      </c>
    </row>
    <row r="12" ht="31.5" customHeight="1">
      <c r="A12" s="33" t="s">
        <v>229</v>
      </c>
      <c r="B12" s="11" t="s">
        <v>235</v>
      </c>
      <c r="C12" s="11" t="s">
        <v>127</v>
      </c>
    </row>
    <row r="13" ht="31.5" customHeight="1">
      <c r="A13" s="33" t="s">
        <v>229</v>
      </c>
      <c r="B13" s="11" t="s">
        <v>237</v>
      </c>
      <c r="C13" s="11" t="s">
        <v>200</v>
      </c>
    </row>
    <row r="14" ht="31.5" customHeight="1">
      <c r="A14" s="33" t="s">
        <v>229</v>
      </c>
      <c r="B14" s="11" t="s">
        <v>239</v>
      </c>
      <c r="C14" s="11" t="s">
        <v>127</v>
      </c>
    </row>
    <row r="15" ht="31.5" customHeight="1">
      <c r="A15" s="33" t="s">
        <v>242</v>
      </c>
      <c r="B15" s="11" t="s">
        <v>244</v>
      </c>
      <c r="C15" s="11" t="s">
        <v>127</v>
      </c>
    </row>
    <row r="16" ht="31.5" customHeight="1">
      <c r="A16" s="33" t="s">
        <v>242</v>
      </c>
      <c r="B16" s="11" t="s">
        <v>249</v>
      </c>
      <c r="C16" s="11" t="s">
        <v>36</v>
      </c>
    </row>
    <row r="17" ht="31.5" customHeight="1">
      <c r="A17" s="33" t="s">
        <v>242</v>
      </c>
      <c r="B17" s="11" t="s">
        <v>252</v>
      </c>
      <c r="C17" s="11" t="s">
        <v>127</v>
      </c>
    </row>
    <row r="18" ht="31.5" customHeight="1">
      <c r="A18" s="33" t="s">
        <v>255</v>
      </c>
      <c r="B18" s="11" t="s">
        <v>256</v>
      </c>
      <c r="C18" s="11" t="s">
        <v>36</v>
      </c>
    </row>
    <row r="19" ht="31.5" customHeight="1">
      <c r="A19" s="33" t="s">
        <v>255</v>
      </c>
      <c r="B19" s="11" t="s">
        <v>259</v>
      </c>
      <c r="C19" s="11" t="s">
        <v>36</v>
      </c>
    </row>
    <row r="20" ht="31.5" customHeight="1">
      <c r="A20" s="33" t="s">
        <v>255</v>
      </c>
      <c r="B20" s="11" t="s">
        <v>262</v>
      </c>
      <c r="C20" s="11" t="s">
        <v>36</v>
      </c>
    </row>
    <row r="21" ht="31.5" customHeight="1">
      <c r="A21" s="33" t="s">
        <v>264</v>
      </c>
      <c r="B21" s="11" t="s">
        <v>265</v>
      </c>
      <c r="C21" s="11" t="s">
        <v>200</v>
      </c>
    </row>
    <row r="22" ht="31.5" customHeight="1">
      <c r="A22" s="33" t="s">
        <v>264</v>
      </c>
      <c r="B22" s="11" t="s">
        <v>268</v>
      </c>
      <c r="C22" s="11" t="s">
        <v>127</v>
      </c>
    </row>
    <row r="23" ht="31.5" customHeight="1">
      <c r="A23" s="33" t="s">
        <v>264</v>
      </c>
      <c r="B23" s="11" t="s">
        <v>271</v>
      </c>
      <c r="C23" s="11" t="s">
        <v>200</v>
      </c>
    </row>
    <row r="24" ht="31.5" customHeight="1">
      <c r="A24" s="33" t="s">
        <v>273</v>
      </c>
      <c r="B24" s="11" t="s">
        <v>275</v>
      </c>
      <c r="C24" s="11" t="s">
        <v>200</v>
      </c>
    </row>
    <row r="25" ht="31.5" customHeight="1">
      <c r="A25" s="33" t="s">
        <v>273</v>
      </c>
      <c r="B25" s="11" t="s">
        <v>277</v>
      </c>
      <c r="C25" s="11" t="s">
        <v>200</v>
      </c>
    </row>
    <row r="26" ht="31.5" customHeight="1">
      <c r="A26" s="33" t="s">
        <v>278</v>
      </c>
      <c r="B26" s="11" t="s">
        <v>281</v>
      </c>
      <c r="C26" s="11" t="s">
        <v>200</v>
      </c>
    </row>
    <row r="27" ht="31.5" customHeight="1">
      <c r="A27" s="33" t="s">
        <v>278</v>
      </c>
      <c r="B27" s="11" t="s">
        <v>283</v>
      </c>
      <c r="C27" s="11" t="s">
        <v>200</v>
      </c>
    </row>
    <row r="28" ht="31.5" customHeight="1">
      <c r="A28" s="33" t="s">
        <v>285</v>
      </c>
      <c r="B28" s="11" t="s">
        <v>286</v>
      </c>
      <c r="C28" s="11" t="s">
        <v>127</v>
      </c>
    </row>
    <row r="29" ht="31.5" customHeight="1">
      <c r="A29" s="33" t="s">
        <v>285</v>
      </c>
      <c r="B29" s="11" t="s">
        <v>288</v>
      </c>
      <c r="C29" s="11" t="s">
        <v>36</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C1"/>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2026-08-06T11:55:00Z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90F5408D712447A396244E31ABCBCA96_13</vt:lpwstr>
  </property>
  <property fmtid="{D5CDD505-2E9C-101B-9397-08002B2CF9AE}" pid="3" name="KSOProductBuildVer">
    <vt:lpwstr>1033-12.1.0.28032</vt:lpwstr>
  </property>
  <property fmtid="{D5CDD505-2E9C-101B-9397-08002B2CF9AE}" pid="4" name="CalculationRule">
    <vt:i4>0</vt:i4>
  </property>
</Properties>
</file>